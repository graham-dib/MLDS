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rahamdib/Developer/MLDS/"/>
    </mc:Choice>
  </mc:AlternateContent>
  <xr:revisionPtr revIDLastSave="0" documentId="13_ncr:1_{4A89ACA3-383E-3E44-8C72-24D397F3550D}" xr6:coauthVersionLast="47" xr6:coauthVersionMax="47" xr10:uidLastSave="{00000000-0000-0000-0000-000000000000}"/>
  <bookViews>
    <workbookView xWindow="0" yWindow="880" windowWidth="36000" windowHeight="22500" xr2:uid="{785A1FC9-809A-6141-9AB6-29FD36A18E71}"/>
  </bookViews>
  <sheets>
    <sheet name="Grade Statistics" sheetId="2" r:id="rId1"/>
    <sheet name="Assessment Marks" sheetId="1" r:id="rId2"/>
  </sheets>
  <calcPr calcId="18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" i="1"/>
  <c r="I2" i="1"/>
  <c r="F7" i="1"/>
  <c r="H7" i="1" s="1"/>
  <c r="F3" i="1"/>
  <c r="H3" i="1" s="1"/>
  <c r="F2" i="1"/>
  <c r="H2" i="1" s="1"/>
  <c r="J4" i="2"/>
  <c r="I4" i="2"/>
  <c r="G3" i="1" l="1"/>
  <c r="G7" i="1"/>
  <c r="G2" i="1"/>
</calcChain>
</file>

<file path=xl/sharedStrings.xml><?xml version="1.0" encoding="utf-8"?>
<sst xmlns="http://schemas.openxmlformats.org/spreadsheetml/2006/main" count="53" uniqueCount="30">
  <si>
    <t>Course Title</t>
  </si>
  <si>
    <t>Assessment Title</t>
  </si>
  <si>
    <t>Course Weighting</t>
  </si>
  <si>
    <t>Raw Mark</t>
  </si>
  <si>
    <t>Applicable Mathematics</t>
  </si>
  <si>
    <t>AM0</t>
  </si>
  <si>
    <t>Percentage</t>
  </si>
  <si>
    <t>AM1</t>
  </si>
  <si>
    <t>AM2</t>
  </si>
  <si>
    <t>AM3</t>
  </si>
  <si>
    <t>AM4</t>
  </si>
  <si>
    <t>Programming for Data Science</t>
  </si>
  <si>
    <t>PDS1</t>
  </si>
  <si>
    <t>PDS2</t>
  </si>
  <si>
    <t>PDS3</t>
  </si>
  <si>
    <t>PDS4</t>
  </si>
  <si>
    <t>Assessed/Unassessed</t>
  </si>
  <si>
    <t>Unassessed</t>
  </si>
  <si>
    <t>Assessed</t>
  </si>
  <si>
    <t>Grand Total</t>
  </si>
  <si>
    <t>Average of Percentage</t>
  </si>
  <si>
    <t>Assignment Weighting</t>
  </si>
  <si>
    <t>Weighted Mark to Course</t>
  </si>
  <si>
    <t>Weighted Mark to Degree</t>
  </si>
  <si>
    <t>Weighted Mark to Degree - Percentage</t>
  </si>
  <si>
    <t>Sum of Weighted Mark to Course</t>
  </si>
  <si>
    <t>Sum of Weighted Mark to Degree</t>
  </si>
  <si>
    <t>Sum of Weighted Mark to Degree - Percentage</t>
  </si>
  <si>
    <t>Current Overall Average</t>
  </si>
  <si>
    <t>Current Degree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</si>
</sst>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9.986536342592" createdVersion="8" refreshedVersion="8" minRefreshableVersion="3" recordCount="11" xr:uid="{9D1367A0-9A06-2347-B2AF-788AF7E31288}">
  <cacheSource type="worksheet">
    <worksheetSource ref="A1:J1048576" sheet="Assessment Marks"/>
  </cacheSource>
  <cacheFields count="10">
    <cacheField name="Course Title" numFmtId="0">
      <sharedItems containsBlank="1" count="3">
        <s v="Applicable Mathematics"/>
        <s v="Programming for Data Science"/>
        <m/>
      </sharedItems>
    </cacheField>
    <cacheField name="Assessment Title" numFmtId="0">
      <sharedItems containsBlank="1"/>
    </cacheField>
    <cacheField name="Course Weighting" numFmtId="0">
      <sharedItems containsString="0" containsBlank="1" containsNumber="1" containsInteger="1" minValue="5" maxValue="5" count="2">
        <n v="5"/>
        <m/>
      </sharedItems>
    </cacheField>
    <cacheField name="Assignment Weighting" numFmtId="0">
      <sharedItems containsString="0" containsBlank="1" containsNumber="1" minValue="0" maxValue="0.25"/>
    </cacheField>
    <cacheField name="Raw Mark" numFmtId="0">
      <sharedItems containsString="0" containsBlank="1" containsNumber="1" containsInteger="1" minValue="23" maxValue="38"/>
    </cacheField>
    <cacheField name="Percentage" numFmtId="9">
      <sharedItems containsString="0" containsBlank="1" containsNumber="1" minValue="0.92" maxValue="1"/>
    </cacheField>
    <cacheField name="Weighted Mark to Course" numFmtId="9">
      <sharedItems containsString="0" containsBlank="1" containsNumber="1" minValue="0" maxValue="0.25"/>
    </cacheField>
    <cacheField name="Weighted Mark to Degree" numFmtId="2">
      <sharedItems containsString="0" containsBlank="1" containsNumber="1" minValue="0" maxValue="1.25"/>
    </cacheField>
    <cacheField name="Weighted Mark to Degree - Percentage" numFmtId="2">
      <sharedItems containsString="0" containsBlank="1" containsNumber="1" minValue="0" maxValue="6.9444444444444441E-3"/>
    </cacheField>
    <cacheField name="Assessed/Unassessed" numFmtId="0">
      <sharedItems containsBlank="1" count="3">
        <s v="Unassessed"/>
        <s v="Asses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M0"/>
    <x v="0"/>
    <n v="0"/>
    <n v="23"/>
    <n v="0.92"/>
    <n v="0"/>
    <n v="0"/>
    <n v="0"/>
    <x v="0"/>
  </r>
  <r>
    <x v="0"/>
    <s v="AM1"/>
    <x v="0"/>
    <n v="0.25"/>
    <n v="25"/>
    <n v="1"/>
    <n v="0.25"/>
    <n v="1.25"/>
    <n v="6.9444444444444441E-3"/>
    <x v="1"/>
  </r>
  <r>
    <x v="0"/>
    <s v="AM2"/>
    <x v="0"/>
    <m/>
    <m/>
    <m/>
    <m/>
    <m/>
    <m/>
    <x v="1"/>
  </r>
  <r>
    <x v="0"/>
    <s v="AM3"/>
    <x v="0"/>
    <m/>
    <m/>
    <m/>
    <m/>
    <m/>
    <m/>
    <x v="1"/>
  </r>
  <r>
    <x v="0"/>
    <s v="AM4"/>
    <x v="0"/>
    <m/>
    <m/>
    <m/>
    <m/>
    <m/>
    <m/>
    <x v="1"/>
  </r>
  <r>
    <x v="1"/>
    <s v="PDS1"/>
    <x v="0"/>
    <n v="0"/>
    <n v="38"/>
    <n v="0.95"/>
    <n v="0"/>
    <n v="0"/>
    <n v="0"/>
    <x v="0"/>
  </r>
  <r>
    <x v="1"/>
    <s v="PDS2"/>
    <x v="0"/>
    <m/>
    <m/>
    <m/>
    <m/>
    <m/>
    <m/>
    <x v="1"/>
  </r>
  <r>
    <x v="1"/>
    <s v="PDS3"/>
    <x v="0"/>
    <m/>
    <m/>
    <m/>
    <m/>
    <m/>
    <m/>
    <x v="1"/>
  </r>
  <r>
    <x v="1"/>
    <s v="PDS4"/>
    <x v="0"/>
    <m/>
    <m/>
    <m/>
    <m/>
    <m/>
    <m/>
    <x v="1"/>
  </r>
  <r>
    <x v="1"/>
    <s v="PDS4"/>
    <x v="0"/>
    <m/>
    <m/>
    <m/>
    <m/>
    <m/>
    <m/>
    <x v="1"/>
  </r>
  <r>
    <x v="2"/>
    <m/>
    <x v="1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BD514-102B-E849-A70A-2864EED09E67}" name="PivotTable1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3:F6" firstHeaderRow="0" firstDataRow="1" firstDataCol="2" rowPageCount="1" colPageCount="1"/>
  <pivotFields count="10"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outline="0" multipleItemSelectionAllowed="1" showAll="0" defaultSubtotal="0">
      <items count="3">
        <item x="1"/>
        <item h="1" x="0"/>
        <item h="1" x="2"/>
      </items>
    </pivotField>
  </pivotFields>
  <rowFields count="2">
    <field x="0"/>
    <field x="2"/>
  </rowFields>
  <rowItems count="3">
    <i>
      <x/>
      <x/>
    </i>
    <i>
      <x v="1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Average of Percentage" fld="5" subtotal="average" baseField="0" baseItem="0"/>
    <dataField name="Sum of Weighted Mark to Course" fld="6" baseField="0" baseItem="0"/>
    <dataField name="Sum of Weighted Mark to Degree" fld="7" baseField="0" baseItem="0"/>
    <dataField name="Sum of Weighted Mark to Degree - Percentag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14D93-CA6C-2041-9A01-BD9CED9A5E76}" name="Table2" displayName="Table2" ref="I3:J4" totalsRowShown="0">
  <autoFilter ref="I3:J4" xr:uid="{36A14D93-CA6C-2041-9A01-BD9CED9A5E76}"/>
  <tableColumns count="2">
    <tableColumn id="1" xr3:uid="{D92DD82C-DA6F-AE44-B6BB-66A9B755B1AD}" name="Current Overall Average" dataDxfId="0" dataCellStyle="Per cent">
      <calculatedColumnFormula>GETPIVOTDATA("Average of Percentage",$A$3)</calculatedColumnFormula>
    </tableColumn>
    <tableColumn id="2" xr3:uid="{0344177A-811A-B54D-9EE8-997BF9777536}" name="Current Degree Classification">
      <calculatedColumnFormula>IF(GETPIVOTDATA("Average of Percentage",$A$3)&gt;=0.7,"Distinction",IF(GETPIVOTDATA("Average of Percentage",$A$3)&gt;=0.6,"Merit",IF(GETPIVOTDATA("Average of Percentage",$A$3)&gt;=0.5,"Pass","Fail")))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EBD3-E8E8-AB42-AE09-ED6F38C95AAE}">
  <dimension ref="A1:J6"/>
  <sheetViews>
    <sheetView tabSelected="1" zoomScale="114" workbookViewId="0">
      <selection activeCell="H33" sqref="H33"/>
    </sheetView>
  </sheetViews>
  <sheetFormatPr baseColWidth="10" defaultRowHeight="16" x14ac:dyDescent="0.2"/>
  <cols>
    <col min="1" max="1" width="28.5" bestFit="1" customWidth="1"/>
    <col min="2" max="2" width="18.33203125" bestFit="1" customWidth="1"/>
    <col min="3" max="3" width="19.83203125" style="3" bestFit="1" customWidth="1"/>
    <col min="4" max="4" width="28.33203125" style="3" bestFit="1" customWidth="1"/>
    <col min="5" max="5" width="28.33203125" bestFit="1" customWidth="1"/>
    <col min="6" max="6" width="39.5" style="3" bestFit="1" customWidth="1"/>
    <col min="9" max="9" width="22.6640625" customWidth="1"/>
    <col min="10" max="10" width="27.5" customWidth="1"/>
  </cols>
  <sheetData>
    <row r="1" spans="1:10" x14ac:dyDescent="0.2">
      <c r="A1" s="1" t="s">
        <v>16</v>
      </c>
      <c r="B1" t="s">
        <v>18</v>
      </c>
    </row>
    <row r="3" spans="1:10" x14ac:dyDescent="0.2">
      <c r="A3" s="1" t="s">
        <v>0</v>
      </c>
      <c r="B3" s="1" t="s">
        <v>2</v>
      </c>
      <c r="C3" t="s">
        <v>20</v>
      </c>
      <c r="D3" t="s">
        <v>25</v>
      </c>
      <c r="E3" t="s">
        <v>26</v>
      </c>
      <c r="F3" t="s">
        <v>27</v>
      </c>
      <c r="I3" t="s">
        <v>28</v>
      </c>
      <c r="J3" t="s">
        <v>29</v>
      </c>
    </row>
    <row r="4" spans="1:10" x14ac:dyDescent="0.2">
      <c r="A4" t="s">
        <v>4</v>
      </c>
      <c r="B4">
        <v>5</v>
      </c>
      <c r="C4" s="2">
        <v>1</v>
      </c>
      <c r="D4" s="2">
        <v>0.25</v>
      </c>
      <c r="E4" s="2">
        <v>1.25</v>
      </c>
      <c r="F4" s="2">
        <v>6.9444444444444441E-3</v>
      </c>
      <c r="I4" s="3">
        <f>GETPIVOTDATA("Average of Percentage",$A$3)</f>
        <v>1</v>
      </c>
      <c r="J4" t="str">
        <f>IF(GETPIVOTDATA("Average of Percentage",$A$3)&gt;=0.7,"Distinction",IF(GETPIVOTDATA("Average of Percentage",$A$3)&gt;=0.6,"Merit",IF(GETPIVOTDATA("Average of Percentage",$A$3)&gt;=0.5,"Pass","Fail")))</f>
        <v>Distinction</v>
      </c>
    </row>
    <row r="5" spans="1:10" x14ac:dyDescent="0.2">
      <c r="A5" t="s">
        <v>11</v>
      </c>
      <c r="B5">
        <v>5</v>
      </c>
      <c r="C5" s="2"/>
      <c r="D5" s="2"/>
      <c r="E5" s="2"/>
      <c r="F5" s="2"/>
    </row>
    <row r="6" spans="1:10" x14ac:dyDescent="0.2">
      <c r="A6" t="s">
        <v>19</v>
      </c>
      <c r="C6" s="2">
        <v>1</v>
      </c>
      <c r="D6" s="2">
        <v>0.25</v>
      </c>
      <c r="E6" s="2">
        <v>1.25</v>
      </c>
      <c r="F6" s="2">
        <v>6.9444444444444441E-3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C31C-87DA-E34B-B92E-053ABED84829}">
  <dimension ref="A1:J11"/>
  <sheetViews>
    <sheetView workbookViewId="0">
      <selection activeCell="J14" sqref="J14"/>
    </sheetView>
  </sheetViews>
  <sheetFormatPr baseColWidth="10" defaultRowHeight="16" x14ac:dyDescent="0.2"/>
  <cols>
    <col min="1" max="1" width="25.6640625" bestFit="1" customWidth="1"/>
    <col min="2" max="2" width="14.5" bestFit="1" customWidth="1"/>
    <col min="3" max="3" width="15.33203125" bestFit="1" customWidth="1"/>
    <col min="4" max="4" width="18.83203125" bestFit="1" customWidth="1"/>
    <col min="5" max="5" width="9" bestFit="1" customWidth="1"/>
    <col min="6" max="6" width="13.1640625" style="3" bestFit="1" customWidth="1"/>
    <col min="7" max="7" width="21.6640625" style="3" bestFit="1" customWidth="1"/>
    <col min="8" max="8" width="21.6640625" style="4" bestFit="1" customWidth="1"/>
    <col min="9" max="9" width="21.6640625" style="4" customWidth="1"/>
    <col min="10" max="10" width="18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21</v>
      </c>
      <c r="E1" t="s">
        <v>3</v>
      </c>
      <c r="F1" s="3" t="s">
        <v>6</v>
      </c>
      <c r="G1" s="3" t="s">
        <v>22</v>
      </c>
      <c r="H1" s="4" t="s">
        <v>23</v>
      </c>
      <c r="I1" s="4" t="s">
        <v>24</v>
      </c>
      <c r="J1" t="s">
        <v>16</v>
      </c>
    </row>
    <row r="2" spans="1:10" x14ac:dyDescent="0.2">
      <c r="A2" t="s">
        <v>4</v>
      </c>
      <c r="B2" t="s">
        <v>5</v>
      </c>
      <c r="C2">
        <v>5</v>
      </c>
      <c r="D2">
        <v>0</v>
      </c>
      <c r="E2">
        <v>23</v>
      </c>
      <c r="F2" s="3">
        <f>E2/25</f>
        <v>0.92</v>
      </c>
      <c r="G2" s="3">
        <f>F2*D2</f>
        <v>0</v>
      </c>
      <c r="H2" s="4">
        <f>C2*F2*D2</f>
        <v>0</v>
      </c>
      <c r="I2" s="4">
        <f>H2/180</f>
        <v>0</v>
      </c>
      <c r="J2" t="s">
        <v>17</v>
      </c>
    </row>
    <row r="3" spans="1:10" x14ac:dyDescent="0.2">
      <c r="A3" t="s">
        <v>4</v>
      </c>
      <c r="B3" t="s">
        <v>7</v>
      </c>
      <c r="C3">
        <v>5</v>
      </c>
      <c r="D3">
        <v>0.25</v>
      </c>
      <c r="E3">
        <v>25</v>
      </c>
      <c r="F3" s="3">
        <f>E3/25</f>
        <v>1</v>
      </c>
      <c r="G3" s="3">
        <f>F3*D3</f>
        <v>0.25</v>
      </c>
      <c r="H3" s="4">
        <f>C3*F3*D3</f>
        <v>1.25</v>
      </c>
      <c r="I3" s="4">
        <f>H3/180</f>
        <v>6.9444444444444441E-3</v>
      </c>
      <c r="J3" t="s">
        <v>18</v>
      </c>
    </row>
    <row r="4" spans="1:10" x14ac:dyDescent="0.2">
      <c r="A4" t="s">
        <v>4</v>
      </c>
      <c r="B4" t="s">
        <v>8</v>
      </c>
      <c r="C4">
        <v>5</v>
      </c>
      <c r="J4" t="s">
        <v>18</v>
      </c>
    </row>
    <row r="5" spans="1:10" x14ac:dyDescent="0.2">
      <c r="A5" t="s">
        <v>4</v>
      </c>
      <c r="B5" t="s">
        <v>9</v>
      </c>
      <c r="C5">
        <v>5</v>
      </c>
      <c r="J5" t="s">
        <v>18</v>
      </c>
    </row>
    <row r="6" spans="1:10" x14ac:dyDescent="0.2">
      <c r="A6" t="s">
        <v>4</v>
      </c>
      <c r="B6" t="s">
        <v>10</v>
      </c>
      <c r="C6">
        <v>5</v>
      </c>
      <c r="J6" t="s">
        <v>18</v>
      </c>
    </row>
    <row r="7" spans="1:10" x14ac:dyDescent="0.2">
      <c r="A7" t="s">
        <v>11</v>
      </c>
      <c r="B7" t="s">
        <v>12</v>
      </c>
      <c r="C7">
        <v>5</v>
      </c>
      <c r="D7">
        <v>0</v>
      </c>
      <c r="E7">
        <v>38</v>
      </c>
      <c r="F7" s="3">
        <f>E7/40</f>
        <v>0.95</v>
      </c>
      <c r="G7" s="3">
        <f>F7*D7</f>
        <v>0</v>
      </c>
      <c r="H7" s="4">
        <f>C7*F7*D7</f>
        <v>0</v>
      </c>
      <c r="I7" s="4">
        <f>H7/180</f>
        <v>0</v>
      </c>
      <c r="J7" t="s">
        <v>17</v>
      </c>
    </row>
    <row r="8" spans="1:10" x14ac:dyDescent="0.2">
      <c r="A8" t="s">
        <v>11</v>
      </c>
      <c r="B8" t="s">
        <v>13</v>
      </c>
      <c r="C8">
        <v>5</v>
      </c>
      <c r="J8" t="s">
        <v>18</v>
      </c>
    </row>
    <row r="9" spans="1:10" x14ac:dyDescent="0.2">
      <c r="A9" t="s">
        <v>11</v>
      </c>
      <c r="B9" t="s">
        <v>14</v>
      </c>
      <c r="C9">
        <v>5</v>
      </c>
      <c r="J9" t="s">
        <v>18</v>
      </c>
    </row>
    <row r="10" spans="1:10" x14ac:dyDescent="0.2">
      <c r="A10" t="s">
        <v>11</v>
      </c>
      <c r="B10" t="s">
        <v>15</v>
      </c>
      <c r="C10">
        <v>5</v>
      </c>
      <c r="J10" t="s">
        <v>18</v>
      </c>
    </row>
    <row r="11" spans="1:10" x14ac:dyDescent="0.2">
      <c r="A11" t="s">
        <v>11</v>
      </c>
      <c r="B11" t="s">
        <v>15</v>
      </c>
      <c r="C11">
        <v>5</v>
      </c>
      <c r="J1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Statistics</vt:lpstr>
      <vt:lpstr>Assessment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Dib, Graham</dc:creator>
  <cp:lastModifiedBy>Dib, Graham</cp:lastModifiedBy>
  <dcterms:created xsi:type="dcterms:W3CDTF">2025-11-08T23:16:44Z</dcterms:created>
  <dcterms:modified xsi:type="dcterms:W3CDTF">2025-11-08T23:55:18Z</dcterms:modified>
</cp:coreProperties>
</file>