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hamdib/Developer/MLDS/"/>
    </mc:Choice>
  </mc:AlternateContent>
  <xr:revisionPtr revIDLastSave="0" documentId="13_ncr:1_{7BA426B8-E9E1-544B-B83D-6B765087D442}" xr6:coauthVersionLast="47" xr6:coauthVersionMax="47" xr10:uidLastSave="{00000000-0000-0000-0000-000000000000}"/>
  <bookViews>
    <workbookView minimized="1" xWindow="0" yWindow="880" windowWidth="36000" windowHeight="22500" xr2:uid="{785A1FC9-809A-6141-9AB6-29FD36A18E71}"/>
  </bookViews>
  <sheets>
    <sheet name="Overall Grades" sheetId="4" r:id="rId1"/>
    <sheet name="Term 1 Grades" sheetId="8" r:id="rId2"/>
    <sheet name="Assessment Marks" sheetId="1" r:id="rId3"/>
  </sheets>
  <calcPr calcId="181029"/>
  <pivotCaches>
    <pivotCache cacheId="23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D21" i="1"/>
  <c r="D20" i="1"/>
  <c r="L20" i="1"/>
  <c r="M2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  <c r="N6" i="4"/>
  <c r="M6" i="4" a="1"/>
  <c r="J6" i="4"/>
  <c r="K6" i="4"/>
  <c r="M6" i="4" l="1"/>
  <c r="O6" i="4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" i="1"/>
  <c r="K3" i="1"/>
  <c r="M3" i="1" s="1"/>
  <c r="K6" i="1"/>
  <c r="K7" i="1"/>
  <c r="K2" i="1"/>
  <c r="L3" i="1" l="1"/>
  <c r="L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<sst xmlns="http://schemas.openxmlformats.org/spreadsheetml/2006/main" count="262" uniqueCount="66">
  <si>
    <t>Course Title</t>
  </si>
  <si>
    <t>Assessment Title</t>
  </si>
  <si>
    <t>Raw Mark</t>
  </si>
  <si>
    <t>Applicable Mathematics</t>
  </si>
  <si>
    <t>AM0</t>
  </si>
  <si>
    <t>Percentage</t>
  </si>
  <si>
    <t>AM1</t>
  </si>
  <si>
    <t>AM2</t>
  </si>
  <si>
    <t>AM3</t>
  </si>
  <si>
    <t>Programming for Data Science</t>
  </si>
  <si>
    <t>PDS1</t>
  </si>
  <si>
    <t>PDS2</t>
  </si>
  <si>
    <t>PDS3</t>
  </si>
  <si>
    <t>PDS4</t>
  </si>
  <si>
    <t>Assessed/Unassessed</t>
  </si>
  <si>
    <t>Unassessed</t>
  </si>
  <si>
    <t>Assessed</t>
  </si>
  <si>
    <t>Grand Total</t>
  </si>
  <si>
    <t>Average of Percentage</t>
  </si>
  <si>
    <t>(All)</t>
  </si>
  <si>
    <t>Assignment Weighting</t>
  </si>
  <si>
    <t>Weighted Percentage to Course</t>
  </si>
  <si>
    <t>Sum of Raw Mark</t>
  </si>
  <si>
    <t>Raw Credit</t>
  </si>
  <si>
    <t>Sum of Raw Credit</t>
  </si>
  <si>
    <t>Exploratory Data Analytics and Visualisation</t>
  </si>
  <si>
    <t>EDA1</t>
  </si>
  <si>
    <t>Supervised Learning</t>
  </si>
  <si>
    <t>SL1</t>
  </si>
  <si>
    <t>EDA2</t>
  </si>
  <si>
    <t>SL2</t>
  </si>
  <si>
    <t>W1 Reading Summary</t>
  </si>
  <si>
    <t>W2 Reading Summary</t>
  </si>
  <si>
    <t>W3 Reading Summary</t>
  </si>
  <si>
    <t>W4 Reading Summary</t>
  </si>
  <si>
    <t>W5 Reading Summary</t>
  </si>
  <si>
    <t>Coursework 1</t>
  </si>
  <si>
    <t>Total Mark</t>
  </si>
  <si>
    <t>Pass/Fail</t>
  </si>
  <si>
    <t>Taught POWA</t>
  </si>
  <si>
    <t>Current Taught Classification</t>
  </si>
  <si>
    <t>For an Overall Distinction, the taught classification &amp; research classification &gt;= 70, and the Pass/Fail Modules must be passed</t>
  </si>
  <si>
    <t>Grading Mode</t>
  </si>
  <si>
    <t>Numeric</t>
  </si>
  <si>
    <t xml:space="preserve">Aspect </t>
  </si>
  <si>
    <t>Taught</t>
  </si>
  <si>
    <t>Additive Credits (ECTS)</t>
  </si>
  <si>
    <t>Sum of Additive Credits (ECTS)</t>
  </si>
  <si>
    <t>Module Credits (ECTS)</t>
  </si>
  <si>
    <t xml:space="preserve">Term </t>
  </si>
  <si>
    <t>Unsupervised Learning</t>
  </si>
  <si>
    <t>N/A</t>
  </si>
  <si>
    <t>Bayesian Methods and Computation</t>
  </si>
  <si>
    <t>Learning Agents</t>
  </si>
  <si>
    <t>Unstructured Data Analysis</t>
  </si>
  <si>
    <t>Deep Learning</t>
  </si>
  <si>
    <t>Big Data: Stastical scalability with PySpark</t>
  </si>
  <si>
    <t>Research Project</t>
  </si>
  <si>
    <t>Research</t>
  </si>
  <si>
    <t>Sum of Total Mark</t>
  </si>
  <si>
    <t>Current Research Classification</t>
  </si>
  <si>
    <t>Current Pass/Fail Module Classification</t>
  </si>
  <si>
    <t>Degree Classification</t>
  </si>
  <si>
    <t>Current Taught Average</t>
  </si>
  <si>
    <t xml:space="preserve">Ethical Machine Learning and Data Science P1 </t>
  </si>
  <si>
    <t>Ethical Machine Learning and Data Science 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</si>
</sst>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2" fontId="0" fillId="0" borderId="0" xfId="1" applyNumberFormat="1" applyFont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 cent" xfId="1" builtinId="5"/>
  </cellStyles>
  <dxfs count="146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81.02424791667" createdVersion="8" refreshedVersion="8" minRefreshableVersion="3" recordCount="27" xr:uid="{E692D055-0060-4A4B-A65D-0A0A9A48D7A7}">
  <cacheSource type="worksheet">
    <worksheetSource ref="A1:N1048576" sheet="Assessment Marks"/>
  </cacheSource>
  <cacheFields count="14">
    <cacheField name="Course Title" numFmtId="0">
      <sharedItems containsBlank="1" count="15">
        <s v="Applicable Mathematics"/>
        <s v="Programming for Data Science"/>
        <s v="Exploratory Data Analytics and Visualisation"/>
        <s v="Supervised Learning"/>
        <s v="Ethical Machine Learning and Data Science P1 "/>
        <s v="Unsupervised Learning"/>
        <s v="Bayesian Methods and Computation"/>
        <s v="Learning Agents"/>
        <s v="Unstructured Data Analysis"/>
        <s v="Ethical Machine Learning and Data Science P2"/>
        <s v="Deep Learning"/>
        <s v="Big Data: Stastical scalability with PySpark"/>
        <s v="Research Project"/>
        <m/>
        <s v="Ethical Machine Learning and Data Science " u="1"/>
      </sharedItems>
    </cacheField>
    <cacheField name="Assessment Title" numFmtId="0">
      <sharedItems containsBlank="1" count="21">
        <s v="AM0"/>
        <s v="AM1"/>
        <s v="AM2"/>
        <s v="AM3"/>
        <s v="PDS1"/>
        <s v="PDS2"/>
        <s v="PDS3"/>
        <s v="PDS4"/>
        <s v="EDA1"/>
        <s v="EDA2"/>
        <s v="SL1"/>
        <s v="SL2"/>
        <s v="W1 Reading Summary"/>
        <s v="W2 Reading Summary"/>
        <s v="W3 Reading Summary"/>
        <s v="W4 Reading Summary"/>
        <s v="W5 Reading Summary"/>
        <s v="Coursework 1"/>
        <s v="N/A"/>
        <m/>
        <s v="AM4" u="1"/>
      </sharedItems>
    </cacheField>
    <cacheField name="Module Credits (ECTS)" numFmtId="0">
      <sharedItems containsString="0" containsBlank="1" containsNumber="1" minValue="3.75" maxValue="20" count="5">
        <n v="5"/>
        <n v="7.5"/>
        <n v="3.75"/>
        <n v="20"/>
        <m/>
      </sharedItems>
    </cacheField>
    <cacheField name="Additive Credits (ECTS)" numFmtId="0">
      <sharedItems containsString="0" containsBlank="1" containsNumber="1" minValue="0" maxValue="20"/>
    </cacheField>
    <cacheField name="Term 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Grading Mode" numFmtId="0">
      <sharedItems containsBlank="1" count="3">
        <s v="Numeric"/>
        <s v="Pass/Fail"/>
        <m/>
      </sharedItems>
    </cacheField>
    <cacheField name="Aspect " numFmtId="0">
      <sharedItems containsBlank="1" count="3">
        <s v="Taught"/>
        <s v="Research"/>
        <m/>
      </sharedItems>
    </cacheField>
    <cacheField name="Assignment Weighting" numFmtId="0">
      <sharedItems containsString="0" containsBlank="1" containsNumber="1" minValue="0" maxValue="1"/>
    </cacheField>
    <cacheField name="Raw Mark" numFmtId="0">
      <sharedItems containsString="0" containsBlank="1" containsNumber="1" containsInteger="1" minValue="23" maxValue="38"/>
    </cacheField>
    <cacheField name="Total Mark" numFmtId="0">
      <sharedItems containsString="0" containsBlank="1" containsNumber="1" containsInteger="1" minValue="25" maxValue="40"/>
    </cacheField>
    <cacheField name="Percentage" numFmtId="2">
      <sharedItems containsString="0" containsBlank="1" containsNumber="1" minValue="0.9" maxValue="1"/>
    </cacheField>
    <cacheField name="Weighted Percentage to Course" numFmtId="9">
      <sharedItems containsString="0" containsBlank="1" containsNumber="1" minValue="0" maxValue="0.5"/>
    </cacheField>
    <cacheField name="Raw Credit" numFmtId="2">
      <sharedItems containsString="0" containsBlank="1" containsNumber="1" minValue="0" maxValue="2.5"/>
    </cacheField>
    <cacheField name="Assessed/Unassessed" numFmtId="0">
      <sharedItems containsBlank="1" count="3">
        <s v="Unassessed"/>
        <s v="Assess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x v="0"/>
    <n v="0"/>
    <x v="0"/>
    <x v="0"/>
    <x v="0"/>
    <n v="0"/>
    <n v="23"/>
    <n v="25"/>
    <n v="0.92"/>
    <n v="0"/>
    <n v="0"/>
    <x v="0"/>
  </r>
  <r>
    <x v="0"/>
    <x v="1"/>
    <x v="0"/>
    <n v="1.25"/>
    <x v="0"/>
    <x v="0"/>
    <x v="0"/>
    <n v="0.25"/>
    <n v="25"/>
    <n v="25"/>
    <n v="1"/>
    <n v="0.25"/>
    <n v="1.25"/>
    <x v="1"/>
  </r>
  <r>
    <x v="0"/>
    <x v="2"/>
    <x v="0"/>
    <n v="1.25"/>
    <x v="0"/>
    <x v="0"/>
    <x v="0"/>
    <n v="0.25"/>
    <m/>
    <m/>
    <m/>
    <n v="0"/>
    <n v="0"/>
    <x v="1"/>
  </r>
  <r>
    <x v="0"/>
    <x v="3"/>
    <x v="0"/>
    <n v="2.5"/>
    <x v="0"/>
    <x v="0"/>
    <x v="0"/>
    <n v="0.5"/>
    <m/>
    <m/>
    <m/>
    <n v="0"/>
    <n v="0"/>
    <x v="1"/>
  </r>
  <r>
    <x v="1"/>
    <x v="4"/>
    <x v="0"/>
    <n v="0"/>
    <x v="0"/>
    <x v="1"/>
    <x v="0"/>
    <n v="0"/>
    <n v="38"/>
    <n v="40"/>
    <n v="0.95"/>
    <n v="0"/>
    <n v="0"/>
    <x v="0"/>
  </r>
  <r>
    <x v="1"/>
    <x v="5"/>
    <x v="0"/>
    <n v="1"/>
    <x v="0"/>
    <x v="1"/>
    <x v="0"/>
    <n v="0.2"/>
    <n v="36"/>
    <n v="40"/>
    <n v="0.9"/>
    <n v="0.2"/>
    <n v="1"/>
    <x v="1"/>
  </r>
  <r>
    <x v="1"/>
    <x v="6"/>
    <x v="0"/>
    <n v="1.5"/>
    <x v="0"/>
    <x v="1"/>
    <x v="0"/>
    <n v="0.3"/>
    <m/>
    <m/>
    <m/>
    <n v="0.3"/>
    <n v="1.5"/>
    <x v="1"/>
  </r>
  <r>
    <x v="1"/>
    <x v="7"/>
    <x v="0"/>
    <n v="2.5"/>
    <x v="0"/>
    <x v="1"/>
    <x v="0"/>
    <n v="0.5"/>
    <m/>
    <m/>
    <m/>
    <n v="0.5"/>
    <n v="2.5"/>
    <x v="1"/>
  </r>
  <r>
    <x v="2"/>
    <x v="8"/>
    <x v="0"/>
    <n v="2.5"/>
    <x v="1"/>
    <x v="0"/>
    <x v="0"/>
    <n v="0.5"/>
    <m/>
    <m/>
    <m/>
    <n v="0"/>
    <n v="0"/>
    <x v="1"/>
  </r>
  <r>
    <x v="2"/>
    <x v="9"/>
    <x v="0"/>
    <n v="2.5"/>
    <x v="1"/>
    <x v="0"/>
    <x v="0"/>
    <n v="0.5"/>
    <m/>
    <m/>
    <m/>
    <n v="0"/>
    <n v="0"/>
    <x v="1"/>
  </r>
  <r>
    <x v="3"/>
    <x v="10"/>
    <x v="1"/>
    <n v="3.75"/>
    <x v="1"/>
    <x v="0"/>
    <x v="0"/>
    <n v="0.5"/>
    <m/>
    <m/>
    <m/>
    <n v="0"/>
    <n v="0"/>
    <x v="1"/>
  </r>
  <r>
    <x v="3"/>
    <x v="11"/>
    <x v="1"/>
    <n v="3.75"/>
    <x v="1"/>
    <x v="0"/>
    <x v="0"/>
    <n v="0.5"/>
    <m/>
    <m/>
    <m/>
    <n v="0"/>
    <n v="0"/>
    <x v="1"/>
  </r>
  <r>
    <x v="4"/>
    <x v="12"/>
    <x v="2"/>
    <n v="0.15"/>
    <x v="1"/>
    <x v="0"/>
    <x v="0"/>
    <n v="0.04"/>
    <m/>
    <m/>
    <m/>
    <n v="0"/>
    <n v="0"/>
    <x v="1"/>
  </r>
  <r>
    <x v="4"/>
    <x v="13"/>
    <x v="2"/>
    <n v="0.15"/>
    <x v="1"/>
    <x v="0"/>
    <x v="0"/>
    <n v="0.04"/>
    <m/>
    <m/>
    <m/>
    <n v="0"/>
    <n v="0"/>
    <x v="1"/>
  </r>
  <r>
    <x v="4"/>
    <x v="14"/>
    <x v="2"/>
    <n v="0.15"/>
    <x v="1"/>
    <x v="0"/>
    <x v="0"/>
    <n v="0.04"/>
    <m/>
    <m/>
    <m/>
    <n v="0"/>
    <n v="0"/>
    <x v="1"/>
  </r>
  <r>
    <x v="4"/>
    <x v="15"/>
    <x v="2"/>
    <n v="0.15"/>
    <x v="1"/>
    <x v="0"/>
    <x v="0"/>
    <n v="0.04"/>
    <m/>
    <m/>
    <m/>
    <n v="0"/>
    <n v="0"/>
    <x v="1"/>
  </r>
  <r>
    <x v="4"/>
    <x v="16"/>
    <x v="2"/>
    <n v="0.15"/>
    <x v="1"/>
    <x v="0"/>
    <x v="0"/>
    <n v="0.04"/>
    <m/>
    <m/>
    <m/>
    <n v="0"/>
    <n v="0"/>
    <x v="1"/>
  </r>
  <r>
    <x v="4"/>
    <x v="17"/>
    <x v="2"/>
    <n v="3"/>
    <x v="1"/>
    <x v="0"/>
    <x v="0"/>
    <n v="0.8"/>
    <m/>
    <m/>
    <m/>
    <n v="0"/>
    <n v="0"/>
    <x v="1"/>
  </r>
  <r>
    <x v="5"/>
    <x v="18"/>
    <x v="1"/>
    <n v="7.5"/>
    <x v="2"/>
    <x v="0"/>
    <x v="0"/>
    <n v="1"/>
    <m/>
    <m/>
    <m/>
    <n v="0"/>
    <n v="0"/>
    <x v="1"/>
  </r>
  <r>
    <x v="6"/>
    <x v="18"/>
    <x v="1"/>
    <n v="7.5"/>
    <x v="2"/>
    <x v="0"/>
    <x v="0"/>
    <n v="1"/>
    <m/>
    <m/>
    <m/>
    <n v="0"/>
    <n v="0"/>
    <x v="1"/>
  </r>
  <r>
    <x v="7"/>
    <x v="18"/>
    <x v="0"/>
    <n v="5"/>
    <x v="3"/>
    <x v="0"/>
    <x v="0"/>
    <n v="1"/>
    <m/>
    <m/>
    <m/>
    <n v="0"/>
    <n v="0"/>
    <x v="1"/>
  </r>
  <r>
    <x v="8"/>
    <x v="18"/>
    <x v="1"/>
    <n v="7.5"/>
    <x v="3"/>
    <x v="0"/>
    <x v="0"/>
    <n v="1"/>
    <m/>
    <m/>
    <m/>
    <n v="0"/>
    <n v="0"/>
    <x v="1"/>
  </r>
  <r>
    <x v="9"/>
    <x v="18"/>
    <x v="2"/>
    <n v="3.75"/>
    <x v="4"/>
    <x v="0"/>
    <x v="0"/>
    <n v="1"/>
    <m/>
    <m/>
    <m/>
    <n v="0"/>
    <n v="0"/>
    <x v="1"/>
  </r>
  <r>
    <x v="10"/>
    <x v="18"/>
    <x v="1"/>
    <n v="7.5"/>
    <x v="4"/>
    <x v="0"/>
    <x v="0"/>
    <n v="1"/>
    <m/>
    <m/>
    <m/>
    <n v="0"/>
    <n v="0"/>
    <x v="1"/>
  </r>
  <r>
    <x v="11"/>
    <x v="18"/>
    <x v="0"/>
    <n v="5"/>
    <x v="4"/>
    <x v="0"/>
    <x v="0"/>
    <n v="1"/>
    <m/>
    <m/>
    <m/>
    <n v="0"/>
    <n v="0"/>
    <x v="1"/>
  </r>
  <r>
    <x v="12"/>
    <x v="18"/>
    <x v="3"/>
    <n v="20"/>
    <x v="5"/>
    <x v="0"/>
    <x v="1"/>
    <n v="1"/>
    <m/>
    <m/>
    <m/>
    <n v="0"/>
    <n v="0"/>
    <x v="1"/>
  </r>
  <r>
    <x v="13"/>
    <x v="19"/>
    <x v="4"/>
    <m/>
    <x v="6"/>
    <x v="2"/>
    <x v="2"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868C9-F878-874F-BB4A-60813A20C75F}" name="PivotTable7" cacheId="2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7:H49" firstHeaderRow="0" firstDataRow="1" firstDataCol="3" rowPageCount="4" colPageCount="1"/>
  <pivotFields count="14">
    <pivotField axis="axisRow" compact="0" outline="0" showAll="0" defaultSubtotal="0">
      <items count="15">
        <item x="0"/>
        <item x="1"/>
        <item x="13"/>
        <item x="2"/>
        <item x="3"/>
        <item m="1" x="14"/>
        <item x="5"/>
        <item x="6"/>
        <item x="7"/>
        <item x="8"/>
        <item x="10"/>
        <item x="11"/>
        <item x="12"/>
        <item x="4"/>
        <item x="9"/>
      </items>
    </pivotField>
    <pivotField axis="axisRow" compact="0" outline="0" showAll="0" defaultSubtotal="0">
      <items count="21">
        <item x="0"/>
        <item x="1"/>
        <item x="2"/>
        <item x="3"/>
        <item m="1" x="20"/>
        <item x="4"/>
        <item x="5"/>
        <item x="6"/>
        <item x="7"/>
        <item x="19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compact="0" outline="0" subtotalTop="0" showAll="0" defaultSubtotal="0">
      <items count="5">
        <item x="2"/>
        <item x="0"/>
        <item x="1"/>
        <item x="4"/>
        <item x="3"/>
      </items>
    </pivotField>
    <pivotField dataField="1" compact="0" outline="0" subtotalTop="0" showAll="0" defaultSubtotal="0"/>
    <pivotField axis="axisPage" compact="0" outline="0" subtotalTop="0" multipleItemSelectionAllowed="1" showAll="0" defaultSubtotal="0">
      <items count="7">
        <item h="1" x="0"/>
        <item h="1" x="1"/>
        <item h="1" x="2"/>
        <item h="1" x="3"/>
        <item h="1" x="4"/>
        <item x="5"/>
        <item h="1" x="6"/>
      </items>
    </pivotField>
    <pivotField axis="axisPage" compact="0" outline="0" subtotalTop="0" multipleItemSelectionAllowed="1" showAll="0" defaultSubtotal="0">
      <items count="3">
        <item x="0"/>
        <item h="1" x="1"/>
        <item h="1" x="2"/>
      </items>
    </pivotField>
    <pivotField axis="axisPage" compact="0" outline="0" subtotalTop="0" multipleItemSelectionAllowed="1" showAll="0" defaultSubtotal="0">
      <items count="3">
        <item h="1" x="0"/>
        <item h="1" x="2"/>
        <item x="1"/>
      </items>
    </pivotField>
    <pivotField compact="0" outline="0" showAll="0" defaultSubtotal="0"/>
    <pivotField dataField="1" compact="0" outline="0" showAll="0" defaultSubtotal="0"/>
    <pivotField dataField="1" compact="0" outline="0" subtotalTop="0" showAll="0" defaultSubtotal="0"/>
    <pivotField dataField="1" compact="0" outline="0" showAll="0" defaultSubtotal="0"/>
    <pivotField compact="0" outline="0" subtotalTop="0" showAll="0" defaultSubtotal="0"/>
    <pivotField dataField="1" compact="0" outline="0" subtotalTop="0" showAll="0" defaultSubtotal="0"/>
    <pivotField axis="axisPage" compact="0" outline="0" multipleItemSelectionAllowed="1" showAll="0" defaultSubtotal="0">
      <items count="3">
        <item x="1"/>
        <item h="1" x="0"/>
        <item h="1" x="2"/>
      </items>
    </pivotField>
  </pivotFields>
  <rowFields count="3">
    <field x="0"/>
    <field x="2"/>
    <field x="1"/>
  </rowFields>
  <rowItems count="2">
    <i>
      <x v="12"/>
      <x v="4"/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13" hier="-1"/>
    <pageField fld="5" hier="-1"/>
    <pageField fld="6" hier="-1"/>
    <pageField fld="4" hier="-1"/>
  </pageFields>
  <dataFields count="5">
    <dataField name="Sum of Additive Credits (ECTS)" fld="3" baseField="0" baseItem="0"/>
    <dataField name="Sum of Raw Mark" fld="8" baseField="0" baseItem="0"/>
    <dataField name="Sum of Total Mark" fld="9" baseField="0" baseItem="0"/>
    <dataField name="Average of Percentage" fld="10" subtotal="average" baseField="0" baseItem="0" numFmtId="10"/>
    <dataField name="Sum of Raw Credit" fld="12" baseField="0" baseItem="0"/>
  </dataFields>
  <formats count="2">
    <format dxfId="64">
      <pivotArea outline="0" fieldPosition="0">
        <references count="1">
          <reference field="4294967294" count="1" selected="0">
            <x v="3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9CABF-42DD-5D43-83E5-6AB485587AC6}" name="PivotTable6" cacheId="2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5:H39" firstHeaderRow="0" firstDataRow="1" firstDataCol="3" rowPageCount="4" colPageCount="1"/>
  <pivotFields count="14">
    <pivotField axis="axisRow" compact="0" outline="0" showAll="0" defaultSubtotal="0">
      <items count="15">
        <item x="0"/>
        <item x="1"/>
        <item x="13"/>
        <item x="2"/>
        <item x="3"/>
        <item m="1" x="14"/>
        <item x="5"/>
        <item x="6"/>
        <item x="7"/>
        <item x="8"/>
        <item x="10"/>
        <item x="11"/>
        <item x="12"/>
        <item x="4"/>
        <item x="9"/>
      </items>
    </pivotField>
    <pivotField axis="axisRow" compact="0" outline="0" showAll="0" defaultSubtotal="0">
      <items count="21">
        <item x="0"/>
        <item x="1"/>
        <item x="2"/>
        <item x="3"/>
        <item m="1" x="20"/>
        <item x="4"/>
        <item x="5"/>
        <item x="6"/>
        <item x="7"/>
        <item x="19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compact="0" outline="0" subtotalTop="0" showAll="0" defaultSubtotal="0">
      <items count="5">
        <item x="2"/>
        <item x="0"/>
        <item x="1"/>
        <item x="4"/>
        <item x="3"/>
      </items>
    </pivotField>
    <pivotField dataField="1" compact="0" outline="0" subtotalTop="0" showAll="0" defaultSubtotal="0"/>
    <pivotField axis="axisPage" compact="0" outline="0" subtotalTop="0" showAll="0" defaultSubtotal="0">
      <items count="7">
        <item x="0"/>
        <item x="1"/>
        <item x="2"/>
        <item x="3"/>
        <item x="4"/>
        <item x="5"/>
        <item x="6"/>
      </items>
    </pivotField>
    <pivotField axis="axisPage" compact="0" outline="0" subtotalTop="0" multipleItemSelectionAllowed="1" showAll="0" defaultSubtotal="0">
      <items count="3">
        <item h="1" x="0"/>
        <item x="1"/>
        <item h="1" x="2"/>
      </items>
    </pivotField>
    <pivotField axis="axisPage" compact="0" outline="0" subtotalTop="0" multipleItemSelectionAllowed="1" showAll="0" defaultSubtotal="0">
      <items count="3">
        <item x="0"/>
        <item h="1" x="2"/>
        <item h="1" x="1"/>
      </items>
    </pivotField>
    <pivotField compact="0" outline="0" showAll="0" defaultSubtotal="0"/>
    <pivotField dataField="1" compact="0" outline="0" showAll="0" defaultSubtotal="0"/>
    <pivotField dataField="1" compact="0" outline="0" subtotalTop="0" showAll="0" defaultSubtotal="0"/>
    <pivotField dataField="1" compact="0" outline="0" showAll="0" defaultSubtotal="0"/>
    <pivotField compact="0" outline="0" subtotalTop="0" showAll="0" defaultSubtotal="0"/>
    <pivotField dataField="1" compact="0" outline="0" subtotalTop="0" showAll="0" defaultSubtotal="0"/>
    <pivotField axis="axisPage" compact="0" outline="0" multipleItemSelectionAllowed="1" showAll="0" defaultSubtotal="0">
      <items count="3">
        <item x="1"/>
        <item h="1" x="0"/>
        <item h="1" x="2"/>
      </items>
    </pivotField>
  </pivotFields>
  <rowFields count="3">
    <field x="0"/>
    <field x="2"/>
    <field x="1"/>
  </rowFields>
  <rowItems count="4">
    <i>
      <x v="1"/>
      <x v="1"/>
      <x v="6"/>
    </i>
    <i r="2">
      <x v="7"/>
    </i>
    <i r="2"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13" hier="-1"/>
    <pageField fld="5" hier="-1"/>
    <pageField fld="6" hier="-1"/>
    <pageField fld="4" hier="-1"/>
  </pageFields>
  <dataFields count="5">
    <dataField name="Sum of Additive Credits (ECTS)" fld="3" baseField="0" baseItem="0"/>
    <dataField name="Sum of Raw Mark" fld="8" baseField="0" baseItem="0"/>
    <dataField name="Sum of Total Mark" fld="9" baseField="0" baseItem="0"/>
    <dataField name="Average of Percentage" fld="10" subtotal="average" baseField="0" baseItem="0" numFmtId="10"/>
    <dataField name="Sum of Raw Credit" fld="12" baseField="0" baseItem="0"/>
  </dataFields>
  <formats count="2">
    <format dxfId="76">
      <pivotArea outline="0" fieldPosition="0">
        <references count="1">
          <reference field="4294967294" count="1" selected="0">
            <x v="3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3D126-A703-424D-8745-74A24A1826D8}" name="PivotTable3" cacheId="2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H27" firstHeaderRow="0" firstDataRow="1" firstDataCol="3" rowPageCount="4" colPageCount="1"/>
  <pivotFields count="14">
    <pivotField axis="axisRow" compact="0" outline="0" showAll="0" defaultSubtotal="0">
      <items count="15">
        <item x="0"/>
        <item sd="0" x="1"/>
        <item x="13"/>
        <item x="2"/>
        <item x="3"/>
        <item m="1" x="14"/>
        <item x="5"/>
        <item x="6"/>
        <item x="7"/>
        <item x="8"/>
        <item x="10"/>
        <item x="11"/>
        <item x="12"/>
        <item x="4"/>
        <item x="9"/>
      </items>
    </pivotField>
    <pivotField axis="axisRow" compact="0" outline="0" showAll="0" defaultSubtotal="0">
      <items count="21">
        <item x="0"/>
        <item x="1"/>
        <item x="2"/>
        <item x="3"/>
        <item m="1" x="20"/>
        <item x="4"/>
        <item x="5"/>
        <item x="6"/>
        <item x="7"/>
        <item x="19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compact="0" outline="0" subtotalTop="0" showAll="0" defaultSubtotal="0">
      <items count="5">
        <item x="2"/>
        <item x="0"/>
        <item x="1"/>
        <item x="4"/>
        <item x="3"/>
      </items>
    </pivotField>
    <pivotField dataField="1" compact="0" outline="0" subtotalTop="0" showAll="0" defaultSubtotal="0"/>
    <pivotField axis="axisPage" compact="0" outline="0" subtotalTop="0" showAll="0" defaultSubtotal="0">
      <items count="7">
        <item x="0"/>
        <item x="1"/>
        <item x="2"/>
        <item x="3"/>
        <item x="4"/>
        <item x="5"/>
        <item x="6"/>
      </items>
    </pivotField>
    <pivotField axis="axisPage" compact="0" outline="0" subtotalTop="0" multipleItemSelectionAllowed="1" showAll="0" defaultSubtotal="0">
      <items count="3">
        <item x="0"/>
        <item h="1" x="1"/>
        <item h="1" x="2"/>
      </items>
    </pivotField>
    <pivotField axis="axisPage" compact="0" outline="0" subtotalTop="0" multipleItemSelectionAllowed="1" showAll="0" defaultSubtotal="0">
      <items count="3">
        <item x="0"/>
        <item h="1" x="2"/>
        <item h="1" x="1"/>
      </items>
    </pivotField>
    <pivotField compact="0" outline="0" showAll="0" defaultSubtotal="0"/>
    <pivotField dataField="1" compact="0" outline="0" showAll="0" defaultSubtotal="0"/>
    <pivotField dataField="1" compact="0" outline="0" subtotalTop="0" showAll="0" defaultSubtotal="0"/>
    <pivotField dataField="1" compact="0" outline="0" showAll="0" defaultSubtotal="0"/>
    <pivotField compact="0" outline="0" subtotalTop="0" showAll="0" defaultSubtotal="0"/>
    <pivotField dataField="1" compact="0" outline="0" subtotalTop="0" showAll="0" defaultSubtotal="0"/>
    <pivotField axis="axisPage" compact="0" outline="0" multipleItemSelectionAllowed="1" showAll="0" defaultSubtotal="0">
      <items count="3">
        <item x="1"/>
        <item h="1" x="0"/>
        <item h="1" x="2"/>
      </items>
    </pivotField>
  </pivotFields>
  <rowFields count="3">
    <field x="0"/>
    <field x="2"/>
    <field x="1"/>
  </rowFields>
  <rowItems count="21">
    <i>
      <x/>
      <x v="1"/>
      <x v="1"/>
    </i>
    <i r="2">
      <x v="2"/>
    </i>
    <i r="2">
      <x v="3"/>
    </i>
    <i>
      <x v="3"/>
      <x v="1"/>
      <x v="10"/>
    </i>
    <i r="2">
      <x v="11"/>
    </i>
    <i>
      <x v="4"/>
      <x v="2"/>
      <x v="12"/>
    </i>
    <i r="2">
      <x v="13"/>
    </i>
    <i>
      <x v="6"/>
      <x v="2"/>
      <x v="20"/>
    </i>
    <i>
      <x v="7"/>
      <x v="2"/>
      <x v="20"/>
    </i>
    <i>
      <x v="8"/>
      <x v="1"/>
      <x v="20"/>
    </i>
    <i>
      <x v="9"/>
      <x v="2"/>
      <x v="20"/>
    </i>
    <i>
      <x v="10"/>
      <x v="2"/>
      <x v="20"/>
    </i>
    <i>
      <x v="11"/>
      <x v="1"/>
      <x v="20"/>
    </i>
    <i>
      <x v="13"/>
      <x/>
      <x v="14"/>
    </i>
    <i r="2">
      <x v="15"/>
    </i>
    <i r="2">
      <x v="16"/>
    </i>
    <i r="2">
      <x v="17"/>
    </i>
    <i r="2">
      <x v="18"/>
    </i>
    <i r="2">
      <x v="19"/>
    </i>
    <i>
      <x v="14"/>
      <x/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13" hier="-1"/>
    <pageField fld="5" hier="-1"/>
    <pageField fld="6" hier="-1"/>
    <pageField fld="4" hier="-1"/>
  </pageFields>
  <dataFields count="5">
    <dataField name="Sum of Additive Credits (ECTS)" fld="3" baseField="0" baseItem="0"/>
    <dataField name="Sum of Raw Mark" fld="8" baseField="0" baseItem="0"/>
    <dataField name="Sum of Total Mark" fld="9" baseField="0" baseItem="0"/>
    <dataField name="Average of Percentage" fld="10" subtotal="average" baseField="0" baseItem="0" numFmtId="10"/>
    <dataField name="Sum of Raw Credit" fld="12" baseField="0" baseItem="0"/>
  </dataFields>
  <formats count="2">
    <format dxfId="140">
      <pivotArea outline="0" fieldPosition="0">
        <references count="1">
          <reference field="4294967294" count="1" selected="0">
            <x v="3"/>
          </reference>
        </references>
      </pivotArea>
    </format>
    <format dxfId="141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673F9-7629-3743-BD9F-5F7449696934}" name="PivotTable5" cacheId="2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H13" firstHeaderRow="0" firstDataRow="1" firstDataCol="3" rowPageCount="4" colPageCount="1"/>
  <pivotFields count="14">
    <pivotField axis="axisRow" compact="0" outline="0" showAll="0" defaultSubtotal="0">
      <items count="15">
        <item x="0"/>
        <item x="1"/>
        <item x="13"/>
        <item x="2"/>
        <item x="3"/>
        <item m="1" x="14"/>
        <item x="5"/>
        <item x="6"/>
        <item x="7"/>
        <item x="8"/>
        <item x="10"/>
        <item x="11"/>
        <item x="12"/>
        <item x="4"/>
        <item x="9"/>
      </items>
    </pivotField>
    <pivotField axis="axisRow" compact="0" outline="0" showAll="0" defaultSubtotal="0">
      <items count="21">
        <item x="0"/>
        <item x="1"/>
        <item x="2"/>
        <item x="3"/>
        <item m="1" x="20"/>
        <item x="4"/>
        <item x="5"/>
        <item x="6"/>
        <item x="7"/>
        <item x="19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compact="0" outline="0" subtotalTop="0" showAll="0" defaultSubtotal="0">
      <items count="5">
        <item x="2"/>
        <item x="0"/>
        <item x="1"/>
        <item x="4"/>
        <item x="3"/>
      </items>
    </pivotField>
    <pivotField dataField="1" compact="0" outline="0" subtotalTop="0" showAll="0" defaultSubtotal="0"/>
    <pivotField axis="axisPage" compact="0" outline="0" subtotalTop="0" multipleItemSelectionAllowed="1" showAll="0" defaultSubtotal="0">
      <items count="7">
        <item x="0"/>
        <item h="1" x="1"/>
        <item h="1" x="2"/>
        <item h="1" x="3"/>
        <item h="1" x="4"/>
        <item h="1" x="5"/>
        <item h="1" x="6"/>
      </items>
    </pivotField>
    <pivotField axis="axisPage" compact="0" outline="0" subtotalTop="0" showAll="0" defaultSubtotal="0">
      <items count="3">
        <item x="0"/>
        <item x="1"/>
        <item x="2"/>
      </items>
    </pivotField>
    <pivotField axis="axisPage" compact="0" outline="0" subtotalTop="0" multipleItemSelectionAllowed="1" showAll="0" defaultSubtotal="0">
      <items count="3">
        <item x="0"/>
        <item h="1" x="2"/>
        <item h="1" x="1"/>
      </items>
    </pivotField>
    <pivotField compact="0" outline="0" showAll="0" defaultSubtotal="0"/>
    <pivotField dataField="1" compact="0" outline="0" showAll="0" defaultSubtotal="0"/>
    <pivotField dataField="1" compact="0" outline="0" subtotalTop="0" showAll="0" defaultSubtotal="0"/>
    <pivotField dataField="1" compact="0" outline="0" showAll="0" defaultSubtotal="0"/>
    <pivotField compact="0" outline="0" subtotalTop="0" showAll="0" defaultSubtotal="0"/>
    <pivotField dataField="1" compact="0" outline="0" subtotalTop="0" showAll="0" defaultSubtotal="0"/>
    <pivotField axis="axisPage" compact="0" outline="0" multipleItemSelectionAllowed="1" showAll="0" defaultSubtotal="0">
      <items count="3">
        <item x="1"/>
        <item h="1" x="0"/>
        <item h="1" x="2"/>
      </items>
    </pivotField>
  </pivotFields>
  <rowFields count="3">
    <field x="0"/>
    <field x="2"/>
    <field x="1"/>
  </rowFields>
  <rowItems count="7">
    <i>
      <x/>
      <x v="1"/>
      <x v="1"/>
    </i>
    <i r="2">
      <x v="2"/>
    </i>
    <i r="2">
      <x v="3"/>
    </i>
    <i>
      <x v="1"/>
      <x v="1"/>
      <x v="6"/>
    </i>
    <i r="2">
      <x v="7"/>
    </i>
    <i r="2"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13" hier="-1"/>
    <pageField fld="5" hier="-1"/>
    <pageField fld="6" hier="-1"/>
    <pageField fld="4" hier="-1"/>
  </pageFields>
  <dataFields count="5">
    <dataField name="Sum of Additive Credits (ECTS)" fld="3" baseField="0" baseItem="0"/>
    <dataField name="Sum of Raw Mark" fld="8" baseField="0" baseItem="0"/>
    <dataField name="Sum of Total Mark" fld="9" baseField="0" baseItem="0"/>
    <dataField name="Average of Percentage" fld="10" subtotal="average" baseField="0" baseItem="0" numFmtId="10"/>
    <dataField name="Sum of Raw Credit" fld="12" baseField="0" baseItem="0"/>
  </dataFields>
  <formats count="2">
    <format dxfId="80">
      <pivotArea outline="0" fieldPosition="0">
        <references count="1">
          <reference field="4294967294" count="1" selected="0">
            <x v="3"/>
          </reference>
        </references>
      </pivotArea>
    </format>
    <format dxfId="81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D299FA-4889-2444-BA30-DB53BC529321}" name="Table4" displayName="Table4" ref="J5:O6" totalsRowShown="0">
  <autoFilter ref="J5:O6" xr:uid="{30D299FA-4889-2444-BA30-DB53BC529321}"/>
  <tableColumns count="6">
    <tableColumn id="1" xr3:uid="{CF1C7BEE-26C4-EA45-8A3B-731A9666B30B}" name="Current Taught Average" dataDxfId="145" dataCellStyle="Per cent">
      <calculatedColumnFormula>GETPIVOTDATA("Average of Percentage",$A$5)</calculatedColumnFormula>
    </tableColumn>
    <tableColumn id="3" xr3:uid="{5CC41E18-9ED6-0841-AA45-3629FFD9CB99}" name="Taught POWA" dataDxfId="144" dataCellStyle="Per cent">
      <calculatedColumnFormula>GETPIVOTDATA("Sum of Raw Credit",$A$5)/GETPIVOTDATA("Sum of Additive Credits (ECTS)",$A$5)</calculatedColumnFormula>
    </tableColumn>
    <tableColumn id="2" xr3:uid="{017C90E4-BEA2-6E40-BE1F-83A389F916E3}" name="Current Taught Classification">
      <calculatedColumnFormula>IF(J6&gt;=0.7,"Distinction",IF(J6&gt;=0.6,"Merit",IF(J6&gt;=0.5,"Pass","Fail")))</calculatedColumnFormula>
    </tableColumn>
    <tableColumn id="6" xr3:uid="{A10D2A84-83D1-A64A-9B11-D4ED98C19E38}" name="Current Research Classification">
      <calculatedColumnFormula array="1">IF(GETPIVOTDATA("Average of Percentage",$A$47)&gt;=0.7,"Distinction",IF(GETPIVOTDATA("Average of Percentage",$A$47)&gt;=0.6,Merit,IF(GETPIVOTDATA("Average of Percentage",$A$47)&gt;=0.5,"Pass", IF(ISBLANK(GETPIVOTDATA("Average of Percentage",$A$47)),"N/A","Fail"))))</calculatedColumnFormula>
    </tableColumn>
    <tableColumn id="7" xr3:uid="{4C67D3D0-E009-6C4A-9486-3E393DBE3365}" name="Current Pass/Fail Module Classification">
      <calculatedColumnFormula>IF(GETPIVOTDATA("Average of Percentage",$A$35)&gt;=0.5,"Pass","Fail")</calculatedColumnFormula>
    </tableColumn>
    <tableColumn id="8" xr3:uid="{00BDAA4E-483C-3447-A4B4-43AAEB9E4166}" name="Degree Classification">
      <calculatedColumnFormula>Table4[[#This Row],[Current Research Classification]]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0CAE-2FCB-2A4D-B0F8-482D866BF6DA}">
  <dimension ref="A1:Q73"/>
  <sheetViews>
    <sheetView tabSelected="1" zoomScale="90" workbookViewId="0">
      <selection activeCell="D31" sqref="D31"/>
    </sheetView>
  </sheetViews>
  <sheetFormatPr baseColWidth="10" defaultRowHeight="16" x14ac:dyDescent="0.2"/>
  <cols>
    <col min="1" max="1" width="41" bestFit="1" customWidth="1"/>
    <col min="2" max="2" width="23.5" bestFit="1" customWidth="1"/>
    <col min="3" max="3" width="19.5" bestFit="1" customWidth="1"/>
    <col min="4" max="4" width="28" style="4" bestFit="1" customWidth="1"/>
    <col min="5" max="5" width="15.33203125" style="6" bestFit="1" customWidth="1"/>
    <col min="6" max="6" width="16.33203125" style="4" bestFit="1" customWidth="1"/>
    <col min="7" max="7" width="20.5" style="4" bestFit="1" customWidth="1"/>
    <col min="8" max="8" width="16.83203125" style="6" bestFit="1" customWidth="1"/>
    <col min="9" max="9" width="16.83203125" bestFit="1" customWidth="1"/>
    <col min="10" max="10" width="22.6640625" customWidth="1"/>
    <col min="11" max="11" width="15.33203125" bestFit="1" customWidth="1"/>
    <col min="12" max="12" width="29.5" bestFit="1" customWidth="1"/>
    <col min="13" max="13" width="31.6640625" bestFit="1" customWidth="1"/>
    <col min="14" max="14" width="38.5" bestFit="1" customWidth="1"/>
    <col min="15" max="15" width="22.5" bestFit="1" customWidth="1"/>
  </cols>
  <sheetData>
    <row r="1" spans="1:17" x14ac:dyDescent="0.2">
      <c r="A1" s="1" t="s">
        <v>14</v>
      </c>
      <c r="B1" t="s">
        <v>16</v>
      </c>
      <c r="J1" t="s">
        <v>41</v>
      </c>
    </row>
    <row r="2" spans="1:17" x14ac:dyDescent="0.2">
      <c r="A2" s="1" t="s">
        <v>42</v>
      </c>
      <c r="B2" t="s">
        <v>43</v>
      </c>
    </row>
    <row r="3" spans="1:17" x14ac:dyDescent="0.2">
      <c r="A3" s="1" t="s">
        <v>44</v>
      </c>
      <c r="B3" t="s">
        <v>45</v>
      </c>
      <c r="D3"/>
      <c r="E3"/>
      <c r="F3"/>
      <c r="G3"/>
      <c r="H3" s="7"/>
    </row>
    <row r="4" spans="1:17" x14ac:dyDescent="0.2">
      <c r="A4" s="1" t="s">
        <v>49</v>
      </c>
      <c r="B4" t="s">
        <v>19</v>
      </c>
      <c r="D4"/>
      <c r="E4"/>
      <c r="F4"/>
      <c r="G4"/>
      <c r="H4" s="7"/>
      <c r="Q4" s="7"/>
    </row>
    <row r="5" spans="1:17" x14ac:dyDescent="0.2">
      <c r="D5"/>
      <c r="E5"/>
      <c r="F5"/>
      <c r="G5"/>
      <c r="H5"/>
      <c r="J5" t="s">
        <v>63</v>
      </c>
      <c r="K5" t="s">
        <v>39</v>
      </c>
      <c r="L5" t="s">
        <v>40</v>
      </c>
      <c r="M5" t="s">
        <v>60</v>
      </c>
      <c r="N5" t="s">
        <v>61</v>
      </c>
      <c r="O5" t="s">
        <v>62</v>
      </c>
    </row>
    <row r="6" spans="1:17" x14ac:dyDescent="0.2">
      <c r="A6" s="1" t="s">
        <v>0</v>
      </c>
      <c r="B6" s="1" t="s">
        <v>48</v>
      </c>
      <c r="C6" s="1" t="s">
        <v>1</v>
      </c>
      <c r="D6" t="s">
        <v>47</v>
      </c>
      <c r="E6" t="s">
        <v>22</v>
      </c>
      <c r="F6" t="s">
        <v>59</v>
      </c>
      <c r="G6" s="7" t="s">
        <v>18</v>
      </c>
      <c r="H6" t="s">
        <v>24</v>
      </c>
      <c r="J6" s="4">
        <f>GETPIVOTDATA("Average of Percentage",$A$5)</f>
        <v>1</v>
      </c>
      <c r="K6" s="6">
        <f>GETPIVOTDATA("Sum of Raw Credit",$A$5)/GETPIVOTDATA("Sum of Additive Credits (ECTS)",$A$5)</f>
        <v>1.9230769230769232E-2</v>
      </c>
      <c r="L6" t="str">
        <f>IF(J6&gt;=0.7,"Distinction",IF(J6&gt;=0.6,"Merit",IF(J6&gt;=0.5,"Pass","Fail")))</f>
        <v>Distinction</v>
      </c>
      <c r="M6" t="str" cm="1">
        <f t="array" ref="M6">IF(GETPIVOTDATA("Average of Percentage",$A$47)&gt;=0.7,"Distinction",IF(GETPIVOTDATA("Average of Percentage",$A$47)&gt;=0.6,Merit,IF(GETPIVOTDATA("Average of Percentage",$A$47)&gt;=0.5,"Pass", IF(ISBLANK(GETPIVOTDATA("Average of Percentage",$A$47)),"N/A","Fail"))))</f>
        <v>N/A</v>
      </c>
      <c r="N6" t="str">
        <f>IF(GETPIVOTDATA("Average of Percentage",$A$35)&gt;=0.5,"Pass","Fail")</f>
        <v>Pass</v>
      </c>
      <c r="O6" t="str">
        <f>Table4[[#This Row],[Current Research Classification]]</f>
        <v>N/A</v>
      </c>
    </row>
    <row r="7" spans="1:17" x14ac:dyDescent="0.2">
      <c r="A7" t="s">
        <v>3</v>
      </c>
      <c r="B7">
        <v>5</v>
      </c>
      <c r="C7" t="s">
        <v>6</v>
      </c>
      <c r="D7" s="3">
        <v>1.25</v>
      </c>
      <c r="E7" s="3">
        <v>25</v>
      </c>
      <c r="F7" s="3">
        <v>25</v>
      </c>
      <c r="G7" s="7">
        <v>1</v>
      </c>
      <c r="H7" s="3">
        <v>1.25</v>
      </c>
    </row>
    <row r="8" spans="1:17" x14ac:dyDescent="0.2">
      <c r="C8" t="s">
        <v>7</v>
      </c>
      <c r="D8" s="3">
        <v>1.25</v>
      </c>
      <c r="E8" s="3"/>
      <c r="F8" s="3"/>
      <c r="G8" s="7"/>
      <c r="H8" s="3">
        <v>0</v>
      </c>
    </row>
    <row r="9" spans="1:17" x14ac:dyDescent="0.2">
      <c r="C9" t="s">
        <v>8</v>
      </c>
      <c r="D9" s="3">
        <v>2.5</v>
      </c>
      <c r="E9" s="3"/>
      <c r="F9" s="3"/>
      <c r="G9" s="7"/>
      <c r="H9" s="3">
        <v>0</v>
      </c>
    </row>
    <row r="10" spans="1:17" x14ac:dyDescent="0.2">
      <c r="A10" t="s">
        <v>25</v>
      </c>
      <c r="B10">
        <v>5</v>
      </c>
      <c r="C10" t="s">
        <v>26</v>
      </c>
      <c r="D10" s="3">
        <v>2.5</v>
      </c>
      <c r="E10" s="3"/>
      <c r="F10" s="3"/>
      <c r="G10" s="7"/>
      <c r="H10" s="3">
        <v>0</v>
      </c>
    </row>
    <row r="11" spans="1:17" x14ac:dyDescent="0.2">
      <c r="C11" t="s">
        <v>29</v>
      </c>
      <c r="D11" s="3">
        <v>2.5</v>
      </c>
      <c r="E11" s="3"/>
      <c r="F11" s="3"/>
      <c r="G11" s="7"/>
      <c r="H11" s="3">
        <v>0</v>
      </c>
    </row>
    <row r="12" spans="1:17" x14ac:dyDescent="0.2">
      <c r="A12" t="s">
        <v>27</v>
      </c>
      <c r="B12">
        <v>7.5</v>
      </c>
      <c r="C12" t="s">
        <v>28</v>
      </c>
      <c r="D12" s="3">
        <v>3.75</v>
      </c>
      <c r="E12" s="3"/>
      <c r="F12" s="3"/>
      <c r="G12" s="7"/>
      <c r="H12" s="3">
        <v>0</v>
      </c>
    </row>
    <row r="13" spans="1:17" x14ac:dyDescent="0.2">
      <c r="C13" t="s">
        <v>30</v>
      </c>
      <c r="D13" s="3">
        <v>3.75</v>
      </c>
      <c r="E13" s="3"/>
      <c r="F13" s="3"/>
      <c r="G13" s="7"/>
      <c r="H13" s="3">
        <v>0</v>
      </c>
    </row>
    <row r="14" spans="1:17" x14ac:dyDescent="0.2">
      <c r="A14" t="s">
        <v>50</v>
      </c>
      <c r="B14">
        <v>7.5</v>
      </c>
      <c r="C14" t="s">
        <v>51</v>
      </c>
      <c r="D14" s="3">
        <v>7.5</v>
      </c>
      <c r="E14" s="3"/>
      <c r="F14" s="3"/>
      <c r="G14" s="7"/>
      <c r="H14" s="3">
        <v>0</v>
      </c>
    </row>
    <row r="15" spans="1:17" x14ac:dyDescent="0.2">
      <c r="A15" t="s">
        <v>52</v>
      </c>
      <c r="B15">
        <v>7.5</v>
      </c>
      <c r="C15" t="s">
        <v>51</v>
      </c>
      <c r="D15" s="3">
        <v>7.5</v>
      </c>
      <c r="E15" s="3"/>
      <c r="F15" s="3"/>
      <c r="G15" s="7"/>
      <c r="H15" s="3">
        <v>0</v>
      </c>
      <c r="J15" s="4"/>
    </row>
    <row r="16" spans="1:17" x14ac:dyDescent="0.2">
      <c r="A16" t="s">
        <v>53</v>
      </c>
      <c r="B16">
        <v>5</v>
      </c>
      <c r="C16" t="s">
        <v>51</v>
      </c>
      <c r="D16" s="3">
        <v>5</v>
      </c>
      <c r="E16" s="3"/>
      <c r="F16" s="3"/>
      <c r="G16" s="7"/>
      <c r="H16" s="3">
        <v>0</v>
      </c>
    </row>
    <row r="17" spans="1:8" x14ac:dyDescent="0.2">
      <c r="A17" t="s">
        <v>54</v>
      </c>
      <c r="B17">
        <v>7.5</v>
      </c>
      <c r="C17" t="s">
        <v>51</v>
      </c>
      <c r="D17" s="3">
        <v>7.5</v>
      </c>
      <c r="E17" s="3"/>
      <c r="F17" s="3"/>
      <c r="G17" s="7"/>
      <c r="H17" s="3">
        <v>0</v>
      </c>
    </row>
    <row r="18" spans="1:8" x14ac:dyDescent="0.2">
      <c r="A18" t="s">
        <v>55</v>
      </c>
      <c r="B18">
        <v>7.5</v>
      </c>
      <c r="C18" t="s">
        <v>51</v>
      </c>
      <c r="D18" s="3">
        <v>7.5</v>
      </c>
      <c r="E18" s="3"/>
      <c r="F18" s="3"/>
      <c r="G18" s="7"/>
      <c r="H18" s="3">
        <v>0</v>
      </c>
    </row>
    <row r="19" spans="1:8" x14ac:dyDescent="0.2">
      <c r="A19" t="s">
        <v>56</v>
      </c>
      <c r="B19">
        <v>5</v>
      </c>
      <c r="C19" t="s">
        <v>51</v>
      </c>
      <c r="D19" s="3">
        <v>5</v>
      </c>
      <c r="E19" s="3"/>
      <c r="F19" s="3"/>
      <c r="G19" s="7"/>
      <c r="H19" s="3">
        <v>0</v>
      </c>
    </row>
    <row r="20" spans="1:8" x14ac:dyDescent="0.2">
      <c r="A20" t="s">
        <v>64</v>
      </c>
      <c r="B20">
        <v>3.75</v>
      </c>
      <c r="C20" t="s">
        <v>31</v>
      </c>
      <c r="D20" s="3">
        <v>0.15</v>
      </c>
      <c r="E20" s="3"/>
      <c r="F20" s="3"/>
      <c r="G20" s="7"/>
      <c r="H20" s="3">
        <v>0</v>
      </c>
    </row>
    <row r="21" spans="1:8" x14ac:dyDescent="0.2">
      <c r="C21" t="s">
        <v>32</v>
      </c>
      <c r="D21" s="3">
        <v>0.15</v>
      </c>
      <c r="E21" s="3"/>
      <c r="F21" s="3"/>
      <c r="G21" s="7"/>
      <c r="H21" s="3">
        <v>0</v>
      </c>
    </row>
    <row r="22" spans="1:8" x14ac:dyDescent="0.2">
      <c r="C22" t="s">
        <v>33</v>
      </c>
      <c r="D22" s="3">
        <v>0.15</v>
      </c>
      <c r="E22" s="3"/>
      <c r="F22" s="3"/>
      <c r="G22" s="7"/>
      <c r="H22" s="3">
        <v>0</v>
      </c>
    </row>
    <row r="23" spans="1:8" x14ac:dyDescent="0.2">
      <c r="C23" t="s">
        <v>34</v>
      </c>
      <c r="D23" s="3">
        <v>0.15</v>
      </c>
      <c r="E23" s="3"/>
      <c r="F23" s="3"/>
      <c r="G23" s="7"/>
      <c r="H23" s="3">
        <v>0</v>
      </c>
    </row>
    <row r="24" spans="1:8" x14ac:dyDescent="0.2">
      <c r="C24" t="s">
        <v>35</v>
      </c>
      <c r="D24" s="3">
        <v>0.15</v>
      </c>
      <c r="E24" s="3"/>
      <c r="F24" s="3"/>
      <c r="G24" s="7"/>
      <c r="H24" s="3">
        <v>0</v>
      </c>
    </row>
    <row r="25" spans="1:8" x14ac:dyDescent="0.2">
      <c r="C25" t="s">
        <v>36</v>
      </c>
      <c r="D25" s="3">
        <v>3</v>
      </c>
      <c r="E25" s="3"/>
      <c r="F25" s="3"/>
      <c r="G25" s="7"/>
      <c r="H25" s="3">
        <v>0</v>
      </c>
    </row>
    <row r="26" spans="1:8" x14ac:dyDescent="0.2">
      <c r="A26" t="s">
        <v>65</v>
      </c>
      <c r="B26">
        <v>3.75</v>
      </c>
      <c r="C26" t="s">
        <v>51</v>
      </c>
      <c r="D26" s="3">
        <v>3.75</v>
      </c>
      <c r="E26" s="3"/>
      <c r="F26" s="3"/>
      <c r="G26" s="7"/>
      <c r="H26" s="3">
        <v>0</v>
      </c>
    </row>
    <row r="27" spans="1:8" x14ac:dyDescent="0.2">
      <c r="A27" t="s">
        <v>17</v>
      </c>
      <c r="D27" s="3">
        <v>65</v>
      </c>
      <c r="E27" s="3">
        <v>25</v>
      </c>
      <c r="F27" s="3">
        <v>25</v>
      </c>
      <c r="G27" s="7">
        <v>1</v>
      </c>
      <c r="H27" s="3">
        <v>1.25</v>
      </c>
    </row>
    <row r="29" spans="1:8" x14ac:dyDescent="0.2">
      <c r="D29"/>
      <c r="E29"/>
      <c r="F29"/>
      <c r="G29"/>
      <c r="H29" s="7"/>
    </row>
    <row r="30" spans="1:8" x14ac:dyDescent="0.2">
      <c r="A30" s="1" t="s">
        <v>14</v>
      </c>
      <c r="B30" t="s">
        <v>16</v>
      </c>
      <c r="D30"/>
      <c r="E30"/>
      <c r="F30"/>
      <c r="G30"/>
      <c r="H30" s="7"/>
    </row>
    <row r="31" spans="1:8" x14ac:dyDescent="0.2">
      <c r="A31" s="1" t="s">
        <v>42</v>
      </c>
      <c r="B31" t="s">
        <v>38</v>
      </c>
      <c r="D31"/>
      <c r="E31"/>
      <c r="F31"/>
      <c r="G31"/>
      <c r="H31" s="7"/>
    </row>
    <row r="32" spans="1:8" x14ac:dyDescent="0.2">
      <c r="A32" s="1" t="s">
        <v>44</v>
      </c>
      <c r="B32" t="s">
        <v>45</v>
      </c>
    </row>
    <row r="33" spans="1:10" x14ac:dyDescent="0.2">
      <c r="A33" s="1" t="s">
        <v>49</v>
      </c>
      <c r="B33" t="s">
        <v>19</v>
      </c>
    </row>
    <row r="34" spans="1:10" x14ac:dyDescent="0.2">
      <c r="D34"/>
      <c r="E34"/>
      <c r="F34"/>
      <c r="G34"/>
      <c r="H34" s="7"/>
    </row>
    <row r="35" spans="1:10" x14ac:dyDescent="0.2">
      <c r="A35" s="1" t="s">
        <v>0</v>
      </c>
      <c r="B35" s="1" t="s">
        <v>48</v>
      </c>
      <c r="C35" s="1" t="s">
        <v>1</v>
      </c>
      <c r="D35" t="s">
        <v>47</v>
      </c>
      <c r="E35" t="s">
        <v>22</v>
      </c>
      <c r="F35" t="s">
        <v>59</v>
      </c>
      <c r="G35" s="7" t="s">
        <v>18</v>
      </c>
      <c r="H35" t="s">
        <v>24</v>
      </c>
    </row>
    <row r="36" spans="1:10" x14ac:dyDescent="0.2">
      <c r="A36" t="s">
        <v>9</v>
      </c>
      <c r="B36">
        <v>5</v>
      </c>
      <c r="C36" t="s">
        <v>11</v>
      </c>
      <c r="D36" s="3">
        <v>1</v>
      </c>
      <c r="E36" s="3">
        <v>36</v>
      </c>
      <c r="F36" s="3">
        <v>40</v>
      </c>
      <c r="G36" s="7">
        <v>0.9</v>
      </c>
      <c r="H36" s="3">
        <v>1</v>
      </c>
    </row>
    <row r="37" spans="1:10" x14ac:dyDescent="0.2">
      <c r="C37" t="s">
        <v>12</v>
      </c>
      <c r="D37" s="3">
        <v>1.5</v>
      </c>
      <c r="E37" s="3"/>
      <c r="F37" s="3"/>
      <c r="G37" s="7"/>
      <c r="H37" s="3">
        <v>1.5</v>
      </c>
      <c r="J37" s="4"/>
    </row>
    <row r="38" spans="1:10" x14ac:dyDescent="0.2">
      <c r="C38" t="s">
        <v>13</v>
      </c>
      <c r="D38" s="3">
        <v>2.5</v>
      </c>
      <c r="E38" s="3"/>
      <c r="F38" s="3"/>
      <c r="G38" s="7"/>
      <c r="H38" s="3">
        <v>2.5</v>
      </c>
    </row>
    <row r="39" spans="1:10" x14ac:dyDescent="0.2">
      <c r="A39" t="s">
        <v>17</v>
      </c>
      <c r="D39" s="3">
        <v>5</v>
      </c>
      <c r="E39" s="3">
        <v>36</v>
      </c>
      <c r="F39" s="3">
        <v>40</v>
      </c>
      <c r="G39" s="7">
        <v>0.9</v>
      </c>
      <c r="H39" s="3">
        <v>5</v>
      </c>
    </row>
    <row r="40" spans="1:10" x14ac:dyDescent="0.2">
      <c r="D40"/>
      <c r="E40"/>
      <c r="F40"/>
      <c r="G40"/>
      <c r="H40"/>
    </row>
    <row r="41" spans="1:10" x14ac:dyDescent="0.2">
      <c r="D41"/>
      <c r="E41"/>
      <c r="F41"/>
      <c r="G41"/>
      <c r="H41"/>
    </row>
    <row r="42" spans="1:10" x14ac:dyDescent="0.2">
      <c r="A42" s="1" t="s">
        <v>14</v>
      </c>
      <c r="B42" t="s">
        <v>16</v>
      </c>
      <c r="D42"/>
      <c r="E42"/>
      <c r="F42"/>
      <c r="G42"/>
      <c r="H42" s="7"/>
    </row>
    <row r="43" spans="1:10" x14ac:dyDescent="0.2">
      <c r="A43" s="1" t="s">
        <v>42</v>
      </c>
      <c r="B43" t="s">
        <v>43</v>
      </c>
      <c r="D43"/>
      <c r="E43"/>
      <c r="F43"/>
      <c r="G43"/>
      <c r="H43" s="7"/>
    </row>
    <row r="44" spans="1:10" x14ac:dyDescent="0.2">
      <c r="A44" s="1" t="s">
        <v>44</v>
      </c>
      <c r="B44" t="s">
        <v>58</v>
      </c>
    </row>
    <row r="45" spans="1:10" x14ac:dyDescent="0.2">
      <c r="A45" s="1" t="s">
        <v>49</v>
      </c>
      <c r="B45" s="2">
        <v>6</v>
      </c>
    </row>
    <row r="46" spans="1:10" x14ac:dyDescent="0.2">
      <c r="D46"/>
      <c r="E46"/>
      <c r="F46"/>
      <c r="G46"/>
      <c r="H46" s="7"/>
    </row>
    <row r="47" spans="1:10" x14ac:dyDescent="0.2">
      <c r="A47" s="1" t="s">
        <v>0</v>
      </c>
      <c r="B47" s="1" t="s">
        <v>48</v>
      </c>
      <c r="C47" s="1" t="s">
        <v>1</v>
      </c>
      <c r="D47" t="s">
        <v>47</v>
      </c>
      <c r="E47" t="s">
        <v>22</v>
      </c>
      <c r="F47" t="s">
        <v>59</v>
      </c>
      <c r="G47" s="7" t="s">
        <v>18</v>
      </c>
      <c r="H47" t="s">
        <v>24</v>
      </c>
    </row>
    <row r="48" spans="1:10" x14ac:dyDescent="0.2">
      <c r="A48" t="s">
        <v>57</v>
      </c>
      <c r="B48">
        <v>20</v>
      </c>
      <c r="C48" t="s">
        <v>51</v>
      </c>
      <c r="D48" s="3">
        <v>20</v>
      </c>
      <c r="E48" s="3"/>
      <c r="F48" s="3"/>
      <c r="G48" s="7"/>
      <c r="H48" s="3">
        <v>0</v>
      </c>
    </row>
    <row r="49" spans="1:10" x14ac:dyDescent="0.2">
      <c r="A49" t="s">
        <v>17</v>
      </c>
      <c r="D49" s="3">
        <v>20</v>
      </c>
      <c r="E49" s="3"/>
      <c r="F49" s="3"/>
      <c r="G49" s="7"/>
      <c r="H49" s="3">
        <v>0</v>
      </c>
    </row>
    <row r="51" spans="1:10" x14ac:dyDescent="0.2">
      <c r="D51"/>
      <c r="E51"/>
      <c r="F51"/>
      <c r="G51"/>
      <c r="H51"/>
      <c r="J51" s="4"/>
    </row>
    <row r="52" spans="1:10" x14ac:dyDescent="0.2">
      <c r="D52"/>
      <c r="E52"/>
      <c r="F52"/>
      <c r="G52"/>
      <c r="H52"/>
    </row>
    <row r="53" spans="1:10" x14ac:dyDescent="0.2">
      <c r="D53"/>
      <c r="E53"/>
      <c r="F53"/>
      <c r="G53"/>
      <c r="H53"/>
    </row>
    <row r="54" spans="1:10" x14ac:dyDescent="0.2">
      <c r="D54"/>
      <c r="E54"/>
      <c r="F54"/>
      <c r="G54"/>
      <c r="H54"/>
    </row>
    <row r="55" spans="1:10" x14ac:dyDescent="0.2">
      <c r="D55"/>
      <c r="E55"/>
      <c r="F55"/>
      <c r="G55"/>
      <c r="H55"/>
    </row>
    <row r="56" spans="1:10" x14ac:dyDescent="0.2">
      <c r="D56"/>
      <c r="E56"/>
      <c r="F56"/>
      <c r="G56"/>
      <c r="H56"/>
    </row>
    <row r="57" spans="1:10" x14ac:dyDescent="0.2">
      <c r="D57"/>
      <c r="E57"/>
      <c r="F57"/>
      <c r="G57"/>
      <c r="H57"/>
    </row>
    <row r="58" spans="1:10" x14ac:dyDescent="0.2">
      <c r="D58"/>
      <c r="E58"/>
      <c r="F58"/>
      <c r="G58"/>
      <c r="H58"/>
    </row>
    <row r="59" spans="1:10" x14ac:dyDescent="0.2">
      <c r="D59"/>
      <c r="E59"/>
      <c r="F59"/>
      <c r="G59"/>
      <c r="H59"/>
    </row>
    <row r="60" spans="1:10" x14ac:dyDescent="0.2">
      <c r="D60"/>
      <c r="E60"/>
      <c r="F60"/>
      <c r="G60"/>
      <c r="H60"/>
    </row>
    <row r="61" spans="1:10" x14ac:dyDescent="0.2">
      <c r="D61"/>
      <c r="E61"/>
      <c r="F61"/>
      <c r="G61"/>
      <c r="H61"/>
    </row>
    <row r="62" spans="1:10" x14ac:dyDescent="0.2">
      <c r="D62"/>
      <c r="E62"/>
      <c r="F62"/>
      <c r="G62"/>
      <c r="H62"/>
    </row>
    <row r="63" spans="1:10" x14ac:dyDescent="0.2">
      <c r="D63"/>
      <c r="E63"/>
      <c r="F63"/>
      <c r="G63"/>
      <c r="H63"/>
    </row>
    <row r="64" spans="1:10" x14ac:dyDescent="0.2">
      <c r="D64"/>
      <c r="E64"/>
      <c r="F64"/>
      <c r="G64"/>
      <c r="H64"/>
    </row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</sheetData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C117-6331-824D-B061-B9E1B075655F}">
  <dimension ref="A1:H13"/>
  <sheetViews>
    <sheetView workbookViewId="0">
      <selection activeCell="B39" sqref="B39"/>
    </sheetView>
  </sheetViews>
  <sheetFormatPr baseColWidth="10" defaultRowHeight="16" x14ac:dyDescent="0.2"/>
  <cols>
    <col min="1" max="1" width="28.5" bestFit="1" customWidth="1"/>
    <col min="2" max="2" width="22.1640625" bestFit="1" customWidth="1"/>
    <col min="3" max="3" width="18" bestFit="1" customWidth="1"/>
    <col min="4" max="4" width="26.6640625" bestFit="1" customWidth="1"/>
    <col min="5" max="5" width="15.1640625" bestFit="1" customWidth="1"/>
    <col min="6" max="6" width="15.6640625" bestFit="1" customWidth="1"/>
    <col min="7" max="7" width="19.83203125" bestFit="1" customWidth="1"/>
    <col min="8" max="8" width="16.33203125" bestFit="1" customWidth="1"/>
  </cols>
  <sheetData>
    <row r="1" spans="1:8" x14ac:dyDescent="0.2">
      <c r="A1" s="1" t="s">
        <v>14</v>
      </c>
      <c r="B1" t="s">
        <v>16</v>
      </c>
      <c r="H1" s="7"/>
    </row>
    <row r="2" spans="1:8" x14ac:dyDescent="0.2">
      <c r="A2" s="1" t="s">
        <v>42</v>
      </c>
      <c r="B2" t="s">
        <v>19</v>
      </c>
      <c r="H2" s="7"/>
    </row>
    <row r="3" spans="1:8" x14ac:dyDescent="0.2">
      <c r="A3" s="1" t="s">
        <v>44</v>
      </c>
      <c r="B3" t="s">
        <v>45</v>
      </c>
      <c r="D3" s="4"/>
      <c r="E3" s="6"/>
      <c r="F3" s="4"/>
      <c r="G3" s="4"/>
      <c r="H3" s="6"/>
    </row>
    <row r="4" spans="1:8" x14ac:dyDescent="0.2">
      <c r="A4" s="1" t="s">
        <v>49</v>
      </c>
      <c r="B4" s="2">
        <v>1</v>
      </c>
      <c r="D4" s="4"/>
      <c r="E4" s="6"/>
      <c r="F4" s="4"/>
      <c r="G4" s="4"/>
      <c r="H4" s="6"/>
    </row>
    <row r="5" spans="1:8" x14ac:dyDescent="0.2">
      <c r="H5" s="7"/>
    </row>
    <row r="6" spans="1:8" x14ac:dyDescent="0.2">
      <c r="A6" s="1" t="s">
        <v>0</v>
      </c>
      <c r="B6" s="1" t="s">
        <v>48</v>
      </c>
      <c r="C6" s="1" t="s">
        <v>1</v>
      </c>
      <c r="D6" t="s">
        <v>47</v>
      </c>
      <c r="E6" t="s">
        <v>22</v>
      </c>
      <c r="F6" t="s">
        <v>59</v>
      </c>
      <c r="G6" s="7" t="s">
        <v>18</v>
      </c>
      <c r="H6" t="s">
        <v>24</v>
      </c>
    </row>
    <row r="7" spans="1:8" x14ac:dyDescent="0.2">
      <c r="A7" t="s">
        <v>3</v>
      </c>
      <c r="B7">
        <v>5</v>
      </c>
      <c r="C7" t="s">
        <v>6</v>
      </c>
      <c r="D7" s="3">
        <v>1.25</v>
      </c>
      <c r="E7" s="3">
        <v>25</v>
      </c>
      <c r="F7" s="3">
        <v>25</v>
      </c>
      <c r="G7" s="7">
        <v>1</v>
      </c>
      <c r="H7" s="3">
        <v>1.25</v>
      </c>
    </row>
    <row r="8" spans="1:8" x14ac:dyDescent="0.2">
      <c r="C8" t="s">
        <v>7</v>
      </c>
      <c r="D8" s="3">
        <v>1.25</v>
      </c>
      <c r="E8" s="3"/>
      <c r="F8" s="3"/>
      <c r="G8" s="7"/>
      <c r="H8" s="3">
        <v>0</v>
      </c>
    </row>
    <row r="9" spans="1:8" x14ac:dyDescent="0.2">
      <c r="C9" t="s">
        <v>8</v>
      </c>
      <c r="D9" s="3">
        <v>2.5</v>
      </c>
      <c r="E9" s="3"/>
      <c r="F9" s="3"/>
      <c r="G9" s="7"/>
      <c r="H9" s="3">
        <v>0</v>
      </c>
    </row>
    <row r="10" spans="1:8" x14ac:dyDescent="0.2">
      <c r="A10" t="s">
        <v>9</v>
      </c>
      <c r="B10">
        <v>5</v>
      </c>
      <c r="C10" t="s">
        <v>11</v>
      </c>
      <c r="D10" s="3">
        <v>1</v>
      </c>
      <c r="E10" s="3">
        <v>36</v>
      </c>
      <c r="F10" s="3">
        <v>40</v>
      </c>
      <c r="G10" s="7">
        <v>0.9</v>
      </c>
      <c r="H10" s="3">
        <v>1</v>
      </c>
    </row>
    <row r="11" spans="1:8" x14ac:dyDescent="0.2">
      <c r="C11" t="s">
        <v>12</v>
      </c>
      <c r="D11" s="3">
        <v>1.5</v>
      </c>
      <c r="E11" s="3"/>
      <c r="F11" s="3"/>
      <c r="G11" s="7"/>
      <c r="H11" s="3">
        <v>1.5</v>
      </c>
    </row>
    <row r="12" spans="1:8" x14ac:dyDescent="0.2">
      <c r="C12" t="s">
        <v>13</v>
      </c>
      <c r="D12" s="3">
        <v>2.5</v>
      </c>
      <c r="E12" s="3"/>
      <c r="F12" s="3"/>
      <c r="G12" s="7"/>
      <c r="H12" s="3">
        <v>2.5</v>
      </c>
    </row>
    <row r="13" spans="1:8" x14ac:dyDescent="0.2">
      <c r="A13" t="s">
        <v>17</v>
      </c>
      <c r="D13" s="3">
        <v>10</v>
      </c>
      <c r="E13" s="3">
        <v>61</v>
      </c>
      <c r="F13" s="3">
        <v>65</v>
      </c>
      <c r="G13" s="7">
        <v>0.95</v>
      </c>
      <c r="H13" s="3">
        <v>6.25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C31C-87DA-E34B-B92E-053ABED84829}">
  <dimension ref="A1:N27"/>
  <sheetViews>
    <sheetView zoomScale="75" workbookViewId="0">
      <selection activeCell="H20" sqref="H20"/>
    </sheetView>
  </sheetViews>
  <sheetFormatPr baseColWidth="10" defaultRowHeight="16" x14ac:dyDescent="0.2"/>
  <cols>
    <col min="1" max="1" width="39" bestFit="1" customWidth="1"/>
    <col min="2" max="2" width="18.6640625" bestFit="1" customWidth="1"/>
    <col min="3" max="3" width="15.33203125" bestFit="1" customWidth="1"/>
    <col min="4" max="4" width="20" bestFit="1" customWidth="1"/>
    <col min="5" max="5" width="20" customWidth="1"/>
    <col min="6" max="7" width="15.33203125" customWidth="1"/>
    <col min="8" max="8" width="18.83203125" bestFit="1" customWidth="1"/>
    <col min="9" max="9" width="9" bestFit="1" customWidth="1"/>
    <col min="10" max="10" width="9" customWidth="1"/>
    <col min="11" max="11" width="13.1640625" style="5" bestFit="1" customWidth="1"/>
    <col min="12" max="12" width="27" style="4" bestFit="1" customWidth="1"/>
    <col min="13" max="13" width="21.6640625" style="5" bestFit="1" customWidth="1"/>
    <col min="14" max="14" width="18.83203125" bestFit="1" customWidth="1"/>
  </cols>
  <sheetData>
    <row r="1" spans="1:14" x14ac:dyDescent="0.2">
      <c r="A1" t="s">
        <v>0</v>
      </c>
      <c r="B1" t="s">
        <v>1</v>
      </c>
      <c r="C1" t="s">
        <v>48</v>
      </c>
      <c r="D1" t="s">
        <v>46</v>
      </c>
      <c r="E1" t="s">
        <v>49</v>
      </c>
      <c r="F1" t="s">
        <v>42</v>
      </c>
      <c r="G1" t="s">
        <v>44</v>
      </c>
      <c r="H1" t="s">
        <v>20</v>
      </c>
      <c r="I1" t="s">
        <v>2</v>
      </c>
      <c r="J1" t="s">
        <v>37</v>
      </c>
      <c r="K1" s="5" t="s">
        <v>5</v>
      </c>
      <c r="L1" s="4" t="s">
        <v>21</v>
      </c>
      <c r="M1" s="5" t="s">
        <v>23</v>
      </c>
      <c r="N1" t="s">
        <v>14</v>
      </c>
    </row>
    <row r="2" spans="1:14" x14ac:dyDescent="0.2">
      <c r="A2" t="s">
        <v>3</v>
      </c>
      <c r="B2" t="s">
        <v>4</v>
      </c>
      <c r="C2">
        <v>5</v>
      </c>
      <c r="D2">
        <f>C2*H2</f>
        <v>0</v>
      </c>
      <c r="E2">
        <v>1</v>
      </c>
      <c r="F2" t="s">
        <v>43</v>
      </c>
      <c r="G2" t="s">
        <v>45</v>
      </c>
      <c r="H2">
        <v>0</v>
      </c>
      <c r="I2">
        <v>23</v>
      </c>
      <c r="J2">
        <v>25</v>
      </c>
      <c r="K2" s="5">
        <f>I2/J2</f>
        <v>0.92</v>
      </c>
      <c r="L2" s="4">
        <f>IF(F2="Pass/Fail",H2,K2*H2)</f>
        <v>0</v>
      </c>
      <c r="M2" s="5">
        <f>IF(F2="Pass/Fail",C2*H2,C2*K2*H2)</f>
        <v>0</v>
      </c>
      <c r="N2" t="s">
        <v>15</v>
      </c>
    </row>
    <row r="3" spans="1:14" x14ac:dyDescent="0.2">
      <c r="A3" t="s">
        <v>3</v>
      </c>
      <c r="B3" t="s">
        <v>6</v>
      </c>
      <c r="C3">
        <v>5</v>
      </c>
      <c r="D3">
        <f t="shared" ref="D3:D20" si="0">C3*H3</f>
        <v>1.25</v>
      </c>
      <c r="E3">
        <v>1</v>
      </c>
      <c r="F3" t="s">
        <v>43</v>
      </c>
      <c r="G3" t="s">
        <v>45</v>
      </c>
      <c r="H3">
        <v>0.25</v>
      </c>
      <c r="I3">
        <v>25</v>
      </c>
      <c r="J3">
        <v>25</v>
      </c>
      <c r="K3" s="5">
        <f t="shared" ref="K3:K7" si="1">I3/J3</f>
        <v>1</v>
      </c>
      <c r="L3" s="4">
        <f t="shared" ref="L3:L21" si="2">IF(F3="Pass/Fail",H3,K3*H3)</f>
        <v>0.25</v>
      </c>
      <c r="M3" s="5">
        <f t="shared" ref="M3:M20" si="3">IF(F3="Pass/Fail",C3*H3,C3*K3*H3)</f>
        <v>1.25</v>
      </c>
      <c r="N3" t="s">
        <v>16</v>
      </c>
    </row>
    <row r="4" spans="1:14" x14ac:dyDescent="0.2">
      <c r="A4" t="s">
        <v>3</v>
      </c>
      <c r="B4" t="s">
        <v>7</v>
      </c>
      <c r="C4">
        <v>5</v>
      </c>
      <c r="D4">
        <f t="shared" si="0"/>
        <v>1.25</v>
      </c>
      <c r="E4">
        <v>1</v>
      </c>
      <c r="F4" t="s">
        <v>43</v>
      </c>
      <c r="G4" t="s">
        <v>45</v>
      </c>
      <c r="H4">
        <v>0.25</v>
      </c>
      <c r="L4" s="4">
        <f t="shared" si="2"/>
        <v>0</v>
      </c>
      <c r="M4" s="5">
        <f t="shared" si="3"/>
        <v>0</v>
      </c>
      <c r="N4" t="s">
        <v>16</v>
      </c>
    </row>
    <row r="5" spans="1:14" x14ac:dyDescent="0.2">
      <c r="A5" t="s">
        <v>3</v>
      </c>
      <c r="B5" t="s">
        <v>8</v>
      </c>
      <c r="C5">
        <v>5</v>
      </c>
      <c r="D5">
        <f t="shared" si="0"/>
        <v>2.5</v>
      </c>
      <c r="E5">
        <v>1</v>
      </c>
      <c r="F5" t="s">
        <v>43</v>
      </c>
      <c r="G5" t="s">
        <v>45</v>
      </c>
      <c r="H5">
        <v>0.5</v>
      </c>
      <c r="L5" s="4">
        <f t="shared" si="2"/>
        <v>0</v>
      </c>
      <c r="M5" s="5">
        <f t="shared" si="3"/>
        <v>0</v>
      </c>
      <c r="N5" t="s">
        <v>16</v>
      </c>
    </row>
    <row r="6" spans="1:14" x14ac:dyDescent="0.2">
      <c r="A6" t="s">
        <v>9</v>
      </c>
      <c r="B6" t="s">
        <v>10</v>
      </c>
      <c r="C6">
        <v>5</v>
      </c>
      <c r="D6">
        <f t="shared" si="0"/>
        <v>0</v>
      </c>
      <c r="E6">
        <v>1</v>
      </c>
      <c r="F6" t="s">
        <v>38</v>
      </c>
      <c r="G6" t="s">
        <v>45</v>
      </c>
      <c r="H6">
        <v>0</v>
      </c>
      <c r="I6">
        <v>38</v>
      </c>
      <c r="J6">
        <v>40</v>
      </c>
      <c r="K6" s="5">
        <f t="shared" si="1"/>
        <v>0.95</v>
      </c>
      <c r="L6" s="4">
        <f t="shared" si="2"/>
        <v>0</v>
      </c>
      <c r="M6" s="5">
        <f t="shared" si="3"/>
        <v>0</v>
      </c>
      <c r="N6" t="s">
        <v>15</v>
      </c>
    </row>
    <row r="7" spans="1:14" x14ac:dyDescent="0.2">
      <c r="A7" t="s">
        <v>9</v>
      </c>
      <c r="B7" t="s">
        <v>11</v>
      </c>
      <c r="C7">
        <v>5</v>
      </c>
      <c r="D7">
        <f t="shared" si="0"/>
        <v>1</v>
      </c>
      <c r="E7">
        <v>1</v>
      </c>
      <c r="F7" t="s">
        <v>38</v>
      </c>
      <c r="G7" t="s">
        <v>45</v>
      </c>
      <c r="H7">
        <v>0.2</v>
      </c>
      <c r="I7">
        <v>36</v>
      </c>
      <c r="J7">
        <v>40</v>
      </c>
      <c r="K7" s="5">
        <f t="shared" si="1"/>
        <v>0.9</v>
      </c>
      <c r="L7" s="4">
        <f t="shared" si="2"/>
        <v>0.2</v>
      </c>
      <c r="M7" s="5">
        <f t="shared" si="3"/>
        <v>1</v>
      </c>
      <c r="N7" t="s">
        <v>16</v>
      </c>
    </row>
    <row r="8" spans="1:14" x14ac:dyDescent="0.2">
      <c r="A8" t="s">
        <v>9</v>
      </c>
      <c r="B8" t="s">
        <v>12</v>
      </c>
      <c r="C8">
        <v>5</v>
      </c>
      <c r="D8">
        <f t="shared" si="0"/>
        <v>1.5</v>
      </c>
      <c r="E8">
        <v>1</v>
      </c>
      <c r="F8" t="s">
        <v>38</v>
      </c>
      <c r="G8" t="s">
        <v>45</v>
      </c>
      <c r="H8">
        <v>0.3</v>
      </c>
      <c r="L8" s="4">
        <f t="shared" si="2"/>
        <v>0.3</v>
      </c>
      <c r="M8" s="5">
        <f t="shared" si="3"/>
        <v>1.5</v>
      </c>
      <c r="N8" t="s">
        <v>16</v>
      </c>
    </row>
    <row r="9" spans="1:14" x14ac:dyDescent="0.2">
      <c r="A9" t="s">
        <v>9</v>
      </c>
      <c r="B9" t="s">
        <v>13</v>
      </c>
      <c r="C9">
        <v>5</v>
      </c>
      <c r="D9">
        <f t="shared" si="0"/>
        <v>2.5</v>
      </c>
      <c r="E9">
        <v>1</v>
      </c>
      <c r="F9" t="s">
        <v>38</v>
      </c>
      <c r="G9" t="s">
        <v>45</v>
      </c>
      <c r="H9">
        <v>0.5</v>
      </c>
      <c r="L9" s="4">
        <f t="shared" si="2"/>
        <v>0.5</v>
      </c>
      <c r="M9" s="5">
        <f t="shared" si="3"/>
        <v>2.5</v>
      </c>
      <c r="N9" t="s">
        <v>16</v>
      </c>
    </row>
    <row r="10" spans="1:14" x14ac:dyDescent="0.2">
      <c r="A10" t="s">
        <v>25</v>
      </c>
      <c r="B10" t="s">
        <v>26</v>
      </c>
      <c r="C10">
        <v>5</v>
      </c>
      <c r="D10">
        <f t="shared" si="0"/>
        <v>2.5</v>
      </c>
      <c r="E10">
        <v>2</v>
      </c>
      <c r="F10" t="s">
        <v>43</v>
      </c>
      <c r="G10" t="s">
        <v>45</v>
      </c>
      <c r="H10">
        <v>0.5</v>
      </c>
      <c r="L10" s="4">
        <f t="shared" si="2"/>
        <v>0</v>
      </c>
      <c r="M10" s="5">
        <f t="shared" si="3"/>
        <v>0</v>
      </c>
      <c r="N10" t="s">
        <v>16</v>
      </c>
    </row>
    <row r="11" spans="1:14" x14ac:dyDescent="0.2">
      <c r="A11" t="s">
        <v>25</v>
      </c>
      <c r="B11" t="s">
        <v>29</v>
      </c>
      <c r="C11">
        <v>5</v>
      </c>
      <c r="D11">
        <f t="shared" si="0"/>
        <v>2.5</v>
      </c>
      <c r="E11">
        <v>2</v>
      </c>
      <c r="F11" t="s">
        <v>43</v>
      </c>
      <c r="G11" t="s">
        <v>45</v>
      </c>
      <c r="H11">
        <v>0.5</v>
      </c>
      <c r="L11" s="4">
        <f t="shared" si="2"/>
        <v>0</v>
      </c>
      <c r="M11" s="5">
        <f t="shared" si="3"/>
        <v>0</v>
      </c>
      <c r="N11" t="s">
        <v>16</v>
      </c>
    </row>
    <row r="12" spans="1:14" x14ac:dyDescent="0.2">
      <c r="A12" t="s">
        <v>27</v>
      </c>
      <c r="B12" t="s">
        <v>28</v>
      </c>
      <c r="C12">
        <v>7.5</v>
      </c>
      <c r="D12">
        <f t="shared" si="0"/>
        <v>3.75</v>
      </c>
      <c r="E12">
        <v>2</v>
      </c>
      <c r="F12" t="s">
        <v>43</v>
      </c>
      <c r="G12" t="s">
        <v>45</v>
      </c>
      <c r="H12">
        <v>0.5</v>
      </c>
      <c r="L12" s="4">
        <f t="shared" si="2"/>
        <v>0</v>
      </c>
      <c r="M12" s="5">
        <f t="shared" si="3"/>
        <v>0</v>
      </c>
      <c r="N12" t="s">
        <v>16</v>
      </c>
    </row>
    <row r="13" spans="1:14" x14ac:dyDescent="0.2">
      <c r="A13" t="s">
        <v>27</v>
      </c>
      <c r="B13" t="s">
        <v>30</v>
      </c>
      <c r="C13">
        <v>7.5</v>
      </c>
      <c r="D13">
        <f t="shared" si="0"/>
        <v>3.75</v>
      </c>
      <c r="E13">
        <v>2</v>
      </c>
      <c r="F13" t="s">
        <v>43</v>
      </c>
      <c r="G13" t="s">
        <v>45</v>
      </c>
      <c r="H13">
        <v>0.5</v>
      </c>
      <c r="L13" s="4">
        <f t="shared" si="2"/>
        <v>0</v>
      </c>
      <c r="M13" s="5">
        <f t="shared" si="3"/>
        <v>0</v>
      </c>
      <c r="N13" t="s">
        <v>16</v>
      </c>
    </row>
    <row r="14" spans="1:14" x14ac:dyDescent="0.2">
      <c r="A14" t="s">
        <v>64</v>
      </c>
      <c r="B14" t="s">
        <v>31</v>
      </c>
      <c r="C14">
        <v>3.75</v>
      </c>
      <c r="D14">
        <f t="shared" si="0"/>
        <v>0.15</v>
      </c>
      <c r="E14">
        <v>2</v>
      </c>
      <c r="F14" t="s">
        <v>43</v>
      </c>
      <c r="G14" t="s">
        <v>45</v>
      </c>
      <c r="H14">
        <v>0.04</v>
      </c>
      <c r="L14" s="4">
        <f t="shared" si="2"/>
        <v>0</v>
      </c>
      <c r="M14" s="5">
        <f t="shared" si="3"/>
        <v>0</v>
      </c>
      <c r="N14" t="s">
        <v>16</v>
      </c>
    </row>
    <row r="15" spans="1:14" x14ac:dyDescent="0.2">
      <c r="A15" t="s">
        <v>64</v>
      </c>
      <c r="B15" t="s">
        <v>32</v>
      </c>
      <c r="C15">
        <v>3.75</v>
      </c>
      <c r="D15">
        <f t="shared" si="0"/>
        <v>0.15</v>
      </c>
      <c r="E15">
        <v>2</v>
      </c>
      <c r="F15" t="s">
        <v>43</v>
      </c>
      <c r="G15" t="s">
        <v>45</v>
      </c>
      <c r="H15">
        <v>0.04</v>
      </c>
      <c r="L15" s="4">
        <f t="shared" si="2"/>
        <v>0</v>
      </c>
      <c r="M15" s="5">
        <f t="shared" si="3"/>
        <v>0</v>
      </c>
      <c r="N15" t="s">
        <v>16</v>
      </c>
    </row>
    <row r="16" spans="1:14" x14ac:dyDescent="0.2">
      <c r="A16" t="s">
        <v>64</v>
      </c>
      <c r="B16" t="s">
        <v>33</v>
      </c>
      <c r="C16">
        <v>3.75</v>
      </c>
      <c r="D16">
        <f t="shared" si="0"/>
        <v>0.15</v>
      </c>
      <c r="E16">
        <v>2</v>
      </c>
      <c r="F16" t="s">
        <v>43</v>
      </c>
      <c r="G16" t="s">
        <v>45</v>
      </c>
      <c r="H16">
        <v>0.04</v>
      </c>
      <c r="L16" s="4">
        <f t="shared" si="2"/>
        <v>0</v>
      </c>
      <c r="M16" s="5">
        <f t="shared" si="3"/>
        <v>0</v>
      </c>
      <c r="N16" t="s">
        <v>16</v>
      </c>
    </row>
    <row r="17" spans="1:14" x14ac:dyDescent="0.2">
      <c r="A17" t="s">
        <v>64</v>
      </c>
      <c r="B17" t="s">
        <v>34</v>
      </c>
      <c r="C17">
        <v>3.75</v>
      </c>
      <c r="D17">
        <f t="shared" si="0"/>
        <v>0.15</v>
      </c>
      <c r="E17">
        <v>2</v>
      </c>
      <c r="F17" t="s">
        <v>43</v>
      </c>
      <c r="G17" t="s">
        <v>45</v>
      </c>
      <c r="H17">
        <v>0.04</v>
      </c>
      <c r="L17" s="4">
        <f t="shared" si="2"/>
        <v>0</v>
      </c>
      <c r="M17" s="5">
        <f t="shared" si="3"/>
        <v>0</v>
      </c>
      <c r="N17" t="s">
        <v>16</v>
      </c>
    </row>
    <row r="18" spans="1:14" x14ac:dyDescent="0.2">
      <c r="A18" t="s">
        <v>64</v>
      </c>
      <c r="B18" t="s">
        <v>35</v>
      </c>
      <c r="C18">
        <v>3.75</v>
      </c>
      <c r="D18">
        <f t="shared" si="0"/>
        <v>0.15</v>
      </c>
      <c r="E18">
        <v>2</v>
      </c>
      <c r="F18" t="s">
        <v>43</v>
      </c>
      <c r="G18" t="s">
        <v>45</v>
      </c>
      <c r="H18">
        <v>0.04</v>
      </c>
      <c r="L18" s="4">
        <f t="shared" si="2"/>
        <v>0</v>
      </c>
      <c r="M18" s="5">
        <f t="shared" si="3"/>
        <v>0</v>
      </c>
      <c r="N18" t="s">
        <v>16</v>
      </c>
    </row>
    <row r="19" spans="1:14" x14ac:dyDescent="0.2">
      <c r="A19" t="s">
        <v>64</v>
      </c>
      <c r="B19" t="s">
        <v>36</v>
      </c>
      <c r="C19">
        <v>3.75</v>
      </c>
      <c r="D19">
        <f t="shared" si="0"/>
        <v>3</v>
      </c>
      <c r="E19">
        <v>2</v>
      </c>
      <c r="F19" t="s">
        <v>43</v>
      </c>
      <c r="G19" t="s">
        <v>45</v>
      </c>
      <c r="H19">
        <v>0.8</v>
      </c>
      <c r="L19" s="4">
        <f t="shared" si="2"/>
        <v>0</v>
      </c>
      <c r="M19" s="5">
        <f t="shared" si="3"/>
        <v>0</v>
      </c>
      <c r="N19" t="s">
        <v>16</v>
      </c>
    </row>
    <row r="20" spans="1:14" x14ac:dyDescent="0.2">
      <c r="A20" t="s">
        <v>50</v>
      </c>
      <c r="B20" t="s">
        <v>51</v>
      </c>
      <c r="C20">
        <v>7.5</v>
      </c>
      <c r="D20">
        <f t="shared" si="0"/>
        <v>7.5</v>
      </c>
      <c r="E20">
        <v>3</v>
      </c>
      <c r="F20" t="s">
        <v>43</v>
      </c>
      <c r="G20" t="s">
        <v>45</v>
      </c>
      <c r="H20">
        <v>1</v>
      </c>
      <c r="L20" s="4">
        <f t="shared" si="2"/>
        <v>0</v>
      </c>
      <c r="M20" s="5">
        <f t="shared" si="3"/>
        <v>0</v>
      </c>
      <c r="N20" t="s">
        <v>16</v>
      </c>
    </row>
    <row r="21" spans="1:14" x14ac:dyDescent="0.2">
      <c r="A21" t="s">
        <v>52</v>
      </c>
      <c r="B21" t="s">
        <v>51</v>
      </c>
      <c r="C21">
        <v>7.5</v>
      </c>
      <c r="D21">
        <f t="shared" ref="D21:D27" si="4">C21*H21</f>
        <v>7.5</v>
      </c>
      <c r="E21">
        <v>3</v>
      </c>
      <c r="F21" t="s">
        <v>43</v>
      </c>
      <c r="G21" t="s">
        <v>45</v>
      </c>
      <c r="H21">
        <v>1</v>
      </c>
      <c r="L21" s="4">
        <f t="shared" ref="L21:L28" si="5">IF(F21="Pass/Fail",H21,K21*H21)</f>
        <v>0</v>
      </c>
      <c r="M21" s="5">
        <f t="shared" ref="M21:M28" si="6">IF(F21="Pass/Fail",C21*H21,C21*K21*H21)</f>
        <v>0</v>
      </c>
      <c r="N21" t="s">
        <v>16</v>
      </c>
    </row>
    <row r="22" spans="1:14" x14ac:dyDescent="0.2">
      <c r="A22" t="s">
        <v>53</v>
      </c>
      <c r="B22" t="s">
        <v>51</v>
      </c>
      <c r="C22">
        <v>5</v>
      </c>
      <c r="D22">
        <f t="shared" si="4"/>
        <v>5</v>
      </c>
      <c r="E22">
        <v>4</v>
      </c>
      <c r="F22" t="s">
        <v>43</v>
      </c>
      <c r="G22" t="s">
        <v>45</v>
      </c>
      <c r="H22">
        <v>1</v>
      </c>
      <c r="L22" s="4">
        <f t="shared" si="5"/>
        <v>0</v>
      </c>
      <c r="M22" s="5">
        <f t="shared" si="6"/>
        <v>0</v>
      </c>
      <c r="N22" t="s">
        <v>16</v>
      </c>
    </row>
    <row r="23" spans="1:14" x14ac:dyDescent="0.2">
      <c r="A23" t="s">
        <v>54</v>
      </c>
      <c r="B23" t="s">
        <v>51</v>
      </c>
      <c r="C23">
        <v>7.5</v>
      </c>
      <c r="D23">
        <f t="shared" si="4"/>
        <v>7.5</v>
      </c>
      <c r="E23">
        <v>4</v>
      </c>
      <c r="F23" t="s">
        <v>43</v>
      </c>
      <c r="G23" t="s">
        <v>45</v>
      </c>
      <c r="H23">
        <v>1</v>
      </c>
      <c r="L23" s="4">
        <f t="shared" si="5"/>
        <v>0</v>
      </c>
      <c r="M23" s="5">
        <f t="shared" si="6"/>
        <v>0</v>
      </c>
      <c r="N23" t="s">
        <v>16</v>
      </c>
    </row>
    <row r="24" spans="1:14" x14ac:dyDescent="0.2">
      <c r="A24" t="s">
        <v>65</v>
      </c>
      <c r="B24" t="s">
        <v>51</v>
      </c>
      <c r="C24">
        <v>3.75</v>
      </c>
      <c r="D24">
        <f t="shared" si="4"/>
        <v>3.75</v>
      </c>
      <c r="E24">
        <v>5</v>
      </c>
      <c r="F24" t="s">
        <v>43</v>
      </c>
      <c r="G24" t="s">
        <v>45</v>
      </c>
      <c r="H24">
        <v>1</v>
      </c>
      <c r="L24" s="4">
        <f t="shared" si="5"/>
        <v>0</v>
      </c>
      <c r="M24" s="5">
        <f t="shared" si="6"/>
        <v>0</v>
      </c>
      <c r="N24" t="s">
        <v>16</v>
      </c>
    </row>
    <row r="25" spans="1:14" x14ac:dyDescent="0.2">
      <c r="A25" t="s">
        <v>55</v>
      </c>
      <c r="B25" t="s">
        <v>51</v>
      </c>
      <c r="C25">
        <v>7.5</v>
      </c>
      <c r="D25">
        <f t="shared" si="4"/>
        <v>7.5</v>
      </c>
      <c r="E25">
        <v>5</v>
      </c>
      <c r="F25" t="s">
        <v>43</v>
      </c>
      <c r="G25" t="s">
        <v>45</v>
      </c>
      <c r="H25">
        <v>1</v>
      </c>
      <c r="L25" s="4">
        <f t="shared" si="5"/>
        <v>0</v>
      </c>
      <c r="M25" s="5">
        <f t="shared" si="6"/>
        <v>0</v>
      </c>
      <c r="N25" t="s">
        <v>16</v>
      </c>
    </row>
    <row r="26" spans="1:14" x14ac:dyDescent="0.2">
      <c r="A26" t="s">
        <v>56</v>
      </c>
      <c r="B26" t="s">
        <v>51</v>
      </c>
      <c r="C26">
        <v>5</v>
      </c>
      <c r="D26">
        <f t="shared" si="4"/>
        <v>5</v>
      </c>
      <c r="E26">
        <v>5</v>
      </c>
      <c r="F26" t="s">
        <v>43</v>
      </c>
      <c r="G26" t="s">
        <v>45</v>
      </c>
      <c r="H26">
        <v>1</v>
      </c>
      <c r="L26" s="4">
        <f t="shared" si="5"/>
        <v>0</v>
      </c>
      <c r="M26" s="5">
        <f t="shared" si="6"/>
        <v>0</v>
      </c>
      <c r="N26" t="s">
        <v>16</v>
      </c>
    </row>
    <row r="27" spans="1:14" x14ac:dyDescent="0.2">
      <c r="A27" t="s">
        <v>57</v>
      </c>
      <c r="B27" t="s">
        <v>51</v>
      </c>
      <c r="C27">
        <v>20</v>
      </c>
      <c r="D27">
        <f t="shared" si="4"/>
        <v>20</v>
      </c>
      <c r="E27">
        <v>6</v>
      </c>
      <c r="F27" t="s">
        <v>43</v>
      </c>
      <c r="G27" t="s">
        <v>58</v>
      </c>
      <c r="H27">
        <v>1</v>
      </c>
      <c r="L27" s="4">
        <f t="shared" si="5"/>
        <v>0</v>
      </c>
      <c r="M27" s="5">
        <f t="shared" si="6"/>
        <v>0</v>
      </c>
      <c r="N27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Grades</vt:lpstr>
      <vt:lpstr>Term 1 Grades</vt:lpstr>
      <vt:lpstr>Assessment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Dib, Graham</dc:creator>
  <cp:lastModifiedBy>Dib, Graham</cp:lastModifiedBy>
  <dcterms:created xsi:type="dcterms:W3CDTF">2025-11-08T23:16:44Z</dcterms:created>
  <dcterms:modified xsi:type="dcterms:W3CDTF">2025-12-15T03:38:43Z</dcterms:modified>
</cp:coreProperties>
</file>